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Riddhi's Folder\"/>
    </mc:Choice>
  </mc:AlternateContent>
  <xr:revisionPtr revIDLastSave="0" documentId="8_{8CF3F17E-7887-47C0-8B9E-BD2630DCED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_Data" sheetId="1" r:id="rId1"/>
    <sheet name="Lookup" sheetId="2" r:id="rId2"/>
    <sheet name="Sales &amp; Profit" sheetId="3" r:id="rId3"/>
    <sheet name="Category-wise Sales &amp; Profit" sheetId="5" r:id="rId4"/>
    <sheet name="Region-wise Sales &amp; Profit" sheetId="6" r:id="rId5"/>
    <sheet name="Segment-wise Sales&amp;Profit" sheetId="7" r:id="rId6"/>
    <sheet name="Monthly Sales Trend" sheetId="9" r:id="rId7"/>
    <sheet name="Category+Region Analysis" sheetId="10" r:id="rId8"/>
    <sheet name="State-wise Sales&amp;Profit" sheetId="11" r:id="rId9"/>
    <sheet name="KPI Summary" sheetId="13" r:id="rId10"/>
    <sheet name="Dashboard" sheetId="19" r:id="rId11"/>
  </sheets>
  <definedNames>
    <definedName name="_xlnm._FilterDatabase" localSheetId="0" hidden="1">Raw_Data!$A$1:$R$301</definedName>
  </definedNames>
  <calcPr calcId="191029"/>
  <pivotCaches>
    <pivotCache cacheId="0" r:id="rId12"/>
  </pivotCaches>
</workbook>
</file>

<file path=xl/sharedStrings.xml><?xml version="1.0" encoding="utf-8"?>
<sst xmlns="http://schemas.openxmlformats.org/spreadsheetml/2006/main" count="3408" uniqueCount="473">
  <si>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</si>
  <si>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</si>
  <si>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</si>
  <si>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</si>
  <si>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</si>
  <si>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</si>
  <si>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</si>
  <si>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</si>
  <si>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</si>
  <si>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</si>
  <si>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</si>
  <si>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</si>
  <si>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</si>
  <si>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</si>
  <si>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</si>
  <si>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</si>
  <si>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</si>
  <si>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</si>
  <si>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ORD-2025-00001</t>
  </si>
  <si>
    <t>Standard Class</t>
  </si>
  <si>
    <t>CUST-1037</t>
  </si>
  <si>
    <t>Arjun Malhotra</t>
  </si>
  <si>
    <t>Consumer</t>
  </si>
  <si>
    <t>United States</t>
  </si>
  <si>
    <t>Los Angeles</t>
  </si>
  <si>
    <t>California</t>
  </si>
  <si>
    <t>West</t>
  </si>
  <si>
    <t>Technology</t>
  </si>
  <si>
    <t>Machines</t>
  </si>
  <si>
    <t>ORD-2025-00002</t>
  </si>
  <si>
    <t>First Class</t>
  </si>
  <si>
    <t>CUST-1000</t>
  </si>
  <si>
    <t>Vansh Kumar</t>
  </si>
  <si>
    <t>Springfield</t>
  </si>
  <si>
    <t>Illinois</t>
  </si>
  <si>
    <t>Central</t>
  </si>
  <si>
    <t>Phones</t>
  </si>
  <si>
    <t>ORD-2025-00003</t>
  </si>
  <si>
    <t>CUST-1038</t>
  </si>
  <si>
    <t>Priya Singh</t>
  </si>
  <si>
    <t>Austin</t>
  </si>
  <si>
    <t>Texas</t>
  </si>
  <si>
    <t>Furniture</t>
  </si>
  <si>
    <t>Tables</t>
  </si>
  <si>
    <t>ORD-2025-00004</t>
  </si>
  <si>
    <t>Second Class</t>
  </si>
  <si>
    <t>CUST-1045</t>
  </si>
  <si>
    <t>Ananya Sharma</t>
  </si>
  <si>
    <t>Seattle</t>
  </si>
  <si>
    <t>Washington</t>
  </si>
  <si>
    <t>Office Supplies</t>
  </si>
  <si>
    <t>Binders</t>
  </si>
  <si>
    <t>ORD-2025-00005</t>
  </si>
  <si>
    <t>CUST-1042</t>
  </si>
  <si>
    <t>Home Office</t>
  </si>
  <si>
    <t>Chicago</t>
  </si>
  <si>
    <t>Furnishings</t>
  </si>
  <si>
    <t>ORD-2025-00006</t>
  </si>
  <si>
    <t>CUST-1043</t>
  </si>
  <si>
    <t>Neha Kapoor</t>
  </si>
  <si>
    <t>Atlanta</t>
  </si>
  <si>
    <t>Georgia</t>
  </si>
  <si>
    <t>South</t>
  </si>
  <si>
    <t>Accessories</t>
  </si>
  <si>
    <t>ORD-2025-00007</t>
  </si>
  <si>
    <t>Same Day</t>
  </si>
  <si>
    <t>CUST-1025</t>
  </si>
  <si>
    <t>Dev Patel</t>
  </si>
  <si>
    <t>Cleveland</t>
  </si>
  <si>
    <t>Ohio</t>
  </si>
  <si>
    <t>East</t>
  </si>
  <si>
    <t>ORD-2025-00008</t>
  </si>
  <si>
    <t>CUST-1008</t>
  </si>
  <si>
    <t>Aditya Jain</t>
  </si>
  <si>
    <t>Corporate</t>
  </si>
  <si>
    <t>Houston</t>
  </si>
  <si>
    <t>ORD-2025-00009</t>
  </si>
  <si>
    <t>Simran Kaur</t>
  </si>
  <si>
    <t>Dallas</t>
  </si>
  <si>
    <t>ORD-2025-00010</t>
  </si>
  <si>
    <t>CUST-1029</t>
  </si>
  <si>
    <t>Aarav Mehta</t>
  </si>
  <si>
    <t>Spokane</t>
  </si>
  <si>
    <t>ORD-2025-00011</t>
  </si>
  <si>
    <t>CUST-1048</t>
  </si>
  <si>
    <t>Riya Gupta</t>
  </si>
  <si>
    <t>ORD-2025-00012</t>
  </si>
  <si>
    <t>CUST-1005</t>
  </si>
  <si>
    <t>Ishita Roy</t>
  </si>
  <si>
    <t>Miami</t>
  </si>
  <si>
    <t>Florida</t>
  </si>
  <si>
    <t>Bookcases</t>
  </si>
  <si>
    <t>ORD-2025-00013</t>
  </si>
  <si>
    <t>CUST-1013</t>
  </si>
  <si>
    <t>Copiers</t>
  </si>
  <si>
    <t>ORD-2025-00014</t>
  </si>
  <si>
    <t>CUST-1014</t>
  </si>
  <si>
    <t>New York City</t>
  </si>
  <si>
    <t>New York</t>
  </si>
  <si>
    <t>Envelopes</t>
  </si>
  <si>
    <t>ORD-2025-00015</t>
  </si>
  <si>
    <t>CUST-1021</t>
  </si>
  <si>
    <t>ORD-2025-00016</t>
  </si>
  <si>
    <t>CUST-1026</t>
  </si>
  <si>
    <t>Rahul Verma</t>
  </si>
  <si>
    <t>ORD-2025-00017</t>
  </si>
  <si>
    <t>CUST-1003</t>
  </si>
  <si>
    <t>Pittsburgh</t>
  </si>
  <si>
    <t>Pennsylvania</t>
  </si>
  <si>
    <t>Art</t>
  </si>
  <si>
    <t>ORD-2025-00018</t>
  </si>
  <si>
    <t>CUST-1028</t>
  </si>
  <si>
    <t>ORD-2025-00019</t>
  </si>
  <si>
    <t>Chairs</t>
  </si>
  <si>
    <t>ORD-2025-00020</t>
  </si>
  <si>
    <t>CUST-1012</t>
  </si>
  <si>
    <t>ORD-2025-00021</t>
  </si>
  <si>
    <t>ORD-2025-00022</t>
  </si>
  <si>
    <t>CUST-1039</t>
  </si>
  <si>
    <t>ORD-2025-00023</t>
  </si>
  <si>
    <t>Philadelphia</t>
  </si>
  <si>
    <t>ORD-2025-00024</t>
  </si>
  <si>
    <t>CUST-1018</t>
  </si>
  <si>
    <t>ORD-2025-00025</t>
  </si>
  <si>
    <t>CUST-1047</t>
  </si>
  <si>
    <t>San Francisco</t>
  </si>
  <si>
    <t>ORD-2025-00026</t>
  </si>
  <si>
    <t>Rohan Bansal</t>
  </si>
  <si>
    <t>ORD-2025-00027</t>
  </si>
  <si>
    <t>CUST-1007</t>
  </si>
  <si>
    <t>ORD-2025-00028</t>
  </si>
  <si>
    <t>CUST-1022</t>
  </si>
  <si>
    <t>ORD-2025-00029</t>
  </si>
  <si>
    <t>ORD-2025-00030</t>
  </si>
  <si>
    <t>ORD-2025-00031</t>
  </si>
  <si>
    <t>Meera Joshi</t>
  </si>
  <si>
    <t>Storage</t>
  </si>
  <si>
    <t>ORD-2025-00032</t>
  </si>
  <si>
    <t>CUST-1027</t>
  </si>
  <si>
    <t>Kavya Agarwal</t>
  </si>
  <si>
    <t>ORD-2025-00033</t>
  </si>
  <si>
    <t>CUST-1023</t>
  </si>
  <si>
    <t>ORD-2025-00034</t>
  </si>
  <si>
    <t>CUST-1035</t>
  </si>
  <si>
    <t>ORD-2025-00035</t>
  </si>
  <si>
    <t>CUST-1050</t>
  </si>
  <si>
    <t>ORD-2025-00036</t>
  </si>
  <si>
    <t>Orlando</t>
  </si>
  <si>
    <t>ORD-2025-00037</t>
  </si>
  <si>
    <t>ORD-2025-00038</t>
  </si>
  <si>
    <t>CUST-1049</t>
  </si>
  <si>
    <t>Paper</t>
  </si>
  <si>
    <t>ORD-2025-00039</t>
  </si>
  <si>
    <t>ORD-2025-00040</t>
  </si>
  <si>
    <t>CUST-1016</t>
  </si>
  <si>
    <t>Savannah</t>
  </si>
  <si>
    <t>Labels</t>
  </si>
  <si>
    <t>ORD-2025-00041</t>
  </si>
  <si>
    <t>CUST-1034</t>
  </si>
  <si>
    <t>ORD-2025-00042</t>
  </si>
  <si>
    <t>ORD-2025-00043</t>
  </si>
  <si>
    <t>Charlotte</t>
  </si>
  <si>
    <t>North Carolina</t>
  </si>
  <si>
    <t>ORD-2025-00044</t>
  </si>
  <si>
    <t>CUST-1046</t>
  </si>
  <si>
    <t>ORD-2025-00045</t>
  </si>
  <si>
    <t>ORD-2025-00046</t>
  </si>
  <si>
    <t>ORD-2025-00047</t>
  </si>
  <si>
    <t>San Diego</t>
  </si>
  <si>
    <t>ORD-2025-00048</t>
  </si>
  <si>
    <t>CUST-1010</t>
  </si>
  <si>
    <t>ORD-2025-00049</t>
  </si>
  <si>
    <t>ORD-2025-00050</t>
  </si>
  <si>
    <t>ORD-2025-00051</t>
  </si>
  <si>
    <t>ORD-2025-00052</t>
  </si>
  <si>
    <t>ORD-2025-00053</t>
  </si>
  <si>
    <t>Raleigh</t>
  </si>
  <si>
    <t>ORD-2025-00054</t>
  </si>
  <si>
    <t>CUST-1031</t>
  </si>
  <si>
    <t>Buffalo</t>
  </si>
  <si>
    <t>ORD-2025-00055</t>
  </si>
  <si>
    <t>CUST-1030</t>
  </si>
  <si>
    <t>ORD-2025-00056</t>
  </si>
  <si>
    <t>CUST-1020</t>
  </si>
  <si>
    <t>ORD-2025-00057</t>
  </si>
  <si>
    <t>ORD-2025-00058</t>
  </si>
  <si>
    <t>CUST-1040</t>
  </si>
  <si>
    <t>ORD-2025-00059</t>
  </si>
  <si>
    <t>ORD-2025-00060</t>
  </si>
  <si>
    <t>ORD-2025-00061</t>
  </si>
  <si>
    <t>ORD-2025-00062</t>
  </si>
  <si>
    <t>ORD-2025-00063</t>
  </si>
  <si>
    <t>ORD-2025-00064</t>
  </si>
  <si>
    <t>ORD-2025-00065</t>
  </si>
  <si>
    <t>ORD-2025-00066</t>
  </si>
  <si>
    <t>CUST-1036</t>
  </si>
  <si>
    <t>ORD-2025-00067</t>
  </si>
  <si>
    <t>ORD-2025-00068</t>
  </si>
  <si>
    <t>ORD-2025-00069</t>
  </si>
  <si>
    <t>CUST-1033</t>
  </si>
  <si>
    <t>ORD-2025-00070</t>
  </si>
  <si>
    <t>ORD-2025-00071</t>
  </si>
  <si>
    <t>ORD-2025-00072</t>
  </si>
  <si>
    <t>CUST-1024</t>
  </si>
  <si>
    <t>ORD-2025-00073</t>
  </si>
  <si>
    <t>CUST-1009</t>
  </si>
  <si>
    <t>ORD-2025-00074</t>
  </si>
  <si>
    <t>ORD-2025-00075</t>
  </si>
  <si>
    <t>CUST-1032</t>
  </si>
  <si>
    <t>ORD-2025-00076</t>
  </si>
  <si>
    <t>CUST-1004</t>
  </si>
  <si>
    <t>ORD-2025-00077</t>
  </si>
  <si>
    <t>ORD-2025-00078</t>
  </si>
  <si>
    <t>ORD-2025-00079</t>
  </si>
  <si>
    <t>ORD-2025-00080</t>
  </si>
  <si>
    <t>ORD-2025-00081</t>
  </si>
  <si>
    <t>ORD-2025-00082</t>
  </si>
  <si>
    <t>CUST-1044</t>
  </si>
  <si>
    <t>ORD-2025-00083</t>
  </si>
  <si>
    <t>ORD-2025-00084</t>
  </si>
  <si>
    <t>CUST-1019</t>
  </si>
  <si>
    <t>ORD-2025-00085</t>
  </si>
  <si>
    <t>ORD-2025-00086</t>
  </si>
  <si>
    <t>ORD-2025-00087</t>
  </si>
  <si>
    <t>ORD-2025-00088</t>
  </si>
  <si>
    <t>ORD-2025-00089</t>
  </si>
  <si>
    <t>ORD-2025-00090</t>
  </si>
  <si>
    <t>CUST-1017</t>
  </si>
  <si>
    <t>ORD-2025-00091</t>
  </si>
  <si>
    <t>ORD-2025-00092</t>
  </si>
  <si>
    <t>CUST-1015</t>
  </si>
  <si>
    <t>ORD-2025-00093</t>
  </si>
  <si>
    <t>ORD-2025-00094</t>
  </si>
  <si>
    <t>CUST-1001</t>
  </si>
  <si>
    <t>ORD-2025-00095</t>
  </si>
  <si>
    <t>ORD-2025-00096</t>
  </si>
  <si>
    <t>ORD-2025-00097</t>
  </si>
  <si>
    <t>ORD-2025-00098</t>
  </si>
  <si>
    <t>ORD-2025-00099</t>
  </si>
  <si>
    <t>Columbus</t>
  </si>
  <si>
    <t>ORD-2025-00100</t>
  </si>
  <si>
    <t>ORD-2025-00101</t>
  </si>
  <si>
    <t>ORD-2025-00102</t>
  </si>
  <si>
    <t>ORD-2025-00103</t>
  </si>
  <si>
    <t>ORD-2025-00104</t>
  </si>
  <si>
    <t>ORD-2025-00105</t>
  </si>
  <si>
    <t>ORD-2025-00106</t>
  </si>
  <si>
    <t>ORD-2025-00107</t>
  </si>
  <si>
    <t>ORD-2025-00108</t>
  </si>
  <si>
    <t>ORD-2025-00109</t>
  </si>
  <si>
    <t>ORD-2025-00110</t>
  </si>
  <si>
    <t>ORD-2025-00111</t>
  </si>
  <si>
    <t>ORD-2025-00112</t>
  </si>
  <si>
    <t>ORD-2025-00113</t>
  </si>
  <si>
    <t>ORD-2025-00114</t>
  </si>
  <si>
    <t>ORD-2025-00115</t>
  </si>
  <si>
    <t>ORD-2025-00116</t>
  </si>
  <si>
    <t>ORD-2025-00117</t>
  </si>
  <si>
    <t>ORD-2025-00118</t>
  </si>
  <si>
    <t>ORD-2025-00119</t>
  </si>
  <si>
    <t>ORD-2025-00120</t>
  </si>
  <si>
    <t>ORD-2025-00121</t>
  </si>
  <si>
    <t>ORD-2025-00122</t>
  </si>
  <si>
    <t>ORD-2025-00123</t>
  </si>
  <si>
    <t>ORD-2025-00124</t>
  </si>
  <si>
    <t>ORD-2025-00125</t>
  </si>
  <si>
    <t>ORD-2025-00126</t>
  </si>
  <si>
    <t>ORD-2025-00127</t>
  </si>
  <si>
    <t>ORD-2025-00128</t>
  </si>
  <si>
    <t>ORD-2025-00129</t>
  </si>
  <si>
    <t>ORD-2025-00130</t>
  </si>
  <si>
    <t>CUST-1011</t>
  </si>
  <si>
    <t>ORD-2025-00131</t>
  </si>
  <si>
    <t>ORD-2025-00132</t>
  </si>
  <si>
    <t>CUST-1041</t>
  </si>
  <si>
    <t>ORD-2025-00133</t>
  </si>
  <si>
    <t>ORD-2025-00134</t>
  </si>
  <si>
    <t>ORD-2025-00135</t>
  </si>
  <si>
    <t>ORD-2025-00136</t>
  </si>
  <si>
    <t>ORD-2025-00137</t>
  </si>
  <si>
    <t>ORD-2025-00138</t>
  </si>
  <si>
    <t>CUST-1002</t>
  </si>
  <si>
    <t>ORD-2025-00139</t>
  </si>
  <si>
    <t>ORD-2025-00140</t>
  </si>
  <si>
    <t>ORD-2025-00141</t>
  </si>
  <si>
    <t>ORD-2025-00142</t>
  </si>
  <si>
    <t>ORD-2025-00143</t>
  </si>
  <si>
    <t>ORD-2025-00144</t>
  </si>
  <si>
    <t>ORD-2025-00145</t>
  </si>
  <si>
    <t>ORD-2025-00146</t>
  </si>
  <si>
    <t>ORD-2025-00147</t>
  </si>
  <si>
    <t>ORD-2025-00148</t>
  </si>
  <si>
    <t>ORD-2025-00149</t>
  </si>
  <si>
    <t>ORD-2025-00150</t>
  </si>
  <si>
    <t>ORD-2025-00151</t>
  </si>
  <si>
    <t>ORD-2025-00152</t>
  </si>
  <si>
    <t>ORD-2025-00153</t>
  </si>
  <si>
    <t>ORD-2025-00154</t>
  </si>
  <si>
    <t>ORD-2025-00155</t>
  </si>
  <si>
    <t>CUST-1006</t>
  </si>
  <si>
    <t>ORD-2025-00156</t>
  </si>
  <si>
    <t>ORD-2025-00157</t>
  </si>
  <si>
    <t>ORD-2025-00158</t>
  </si>
  <si>
    <t>ORD-2025-00159</t>
  </si>
  <si>
    <t>ORD-2025-00160</t>
  </si>
  <si>
    <t>ORD-2025-00161</t>
  </si>
  <si>
    <t>ORD-2025-00162</t>
  </si>
  <si>
    <t>ORD-2025-00163</t>
  </si>
  <si>
    <t>ORD-2025-00164</t>
  </si>
  <si>
    <t>ORD-2025-00165</t>
  </si>
  <si>
    <t>ORD-2025-00166</t>
  </si>
  <si>
    <t>ORD-2025-00167</t>
  </si>
  <si>
    <t>ORD-2025-00168</t>
  </si>
  <si>
    <t>ORD-2025-00169</t>
  </si>
  <si>
    <t>ORD-2025-00170</t>
  </si>
  <si>
    <t>ORD-2025-00171</t>
  </si>
  <si>
    <t>ORD-2025-00172</t>
  </si>
  <si>
    <t>ORD-2025-00173</t>
  </si>
  <si>
    <t>ORD-2025-00174</t>
  </si>
  <si>
    <t>ORD-2025-00175</t>
  </si>
  <si>
    <t>ORD-2025-00176</t>
  </si>
  <si>
    <t>ORD-2025-00177</t>
  </si>
  <si>
    <t>ORD-2025-00178</t>
  </si>
  <si>
    <t>ORD-2025-00179</t>
  </si>
  <si>
    <t>ORD-2025-00180</t>
  </si>
  <si>
    <t>ORD-2025-00181</t>
  </si>
  <si>
    <t>ORD-2025-00182</t>
  </si>
  <si>
    <t>ORD-2025-00183</t>
  </si>
  <si>
    <t>ORD-2025-00184</t>
  </si>
  <si>
    <t>ORD-2025-00185</t>
  </si>
  <si>
    <t>ORD-2025-00186</t>
  </si>
  <si>
    <t>ORD-2025-00187</t>
  </si>
  <si>
    <t>ORD-2025-00188</t>
  </si>
  <si>
    <t>ORD-2025-00189</t>
  </si>
  <si>
    <t>ORD-2025-00190</t>
  </si>
  <si>
    <t>ORD-2025-00191</t>
  </si>
  <si>
    <t>ORD-2025-00192</t>
  </si>
  <si>
    <t>ORD-2025-00193</t>
  </si>
  <si>
    <t>ORD-2025-00194</t>
  </si>
  <si>
    <t>ORD-2025-00195</t>
  </si>
  <si>
    <t>ORD-2025-00196</t>
  </si>
  <si>
    <t>ORD-2025-00197</t>
  </si>
  <si>
    <t>ORD-2025-00198</t>
  </si>
  <si>
    <t>ORD-2025-00199</t>
  </si>
  <si>
    <t>ORD-2025-00200</t>
  </si>
  <si>
    <t>ORD-2025-00201</t>
  </si>
  <si>
    <t>ORD-2025-00202</t>
  </si>
  <si>
    <t>ORD-2025-00203</t>
  </si>
  <si>
    <t>ORD-2025-00204</t>
  </si>
  <si>
    <t>ORD-2025-00205</t>
  </si>
  <si>
    <t>ORD-2025-00206</t>
  </si>
  <si>
    <t>ORD-2025-00207</t>
  </si>
  <si>
    <t>ORD-2025-00208</t>
  </si>
  <si>
    <t>ORD-2025-00209</t>
  </si>
  <si>
    <t>ORD-2025-00210</t>
  </si>
  <si>
    <t>ORD-2025-00211</t>
  </si>
  <si>
    <t>ORD-2025-00212</t>
  </si>
  <si>
    <t>ORD-2025-00213</t>
  </si>
  <si>
    <t>ORD-2025-00214</t>
  </si>
  <si>
    <t>ORD-2025-00215</t>
  </si>
  <si>
    <t>ORD-2025-00216</t>
  </si>
  <si>
    <t>ORD-2025-00217</t>
  </si>
  <si>
    <t>ORD-2025-00218</t>
  </si>
  <si>
    <t>ORD-2025-00219</t>
  </si>
  <si>
    <t>ORD-2025-00220</t>
  </si>
  <si>
    <t>ORD-2025-00221</t>
  </si>
  <si>
    <t>ORD-2025-00222</t>
  </si>
  <si>
    <t>ORD-2025-00223</t>
  </si>
  <si>
    <t>ORD-2025-00224</t>
  </si>
  <si>
    <t>ORD-2025-00225</t>
  </si>
  <si>
    <t>ORD-2025-00226</t>
  </si>
  <si>
    <t>ORD-2025-00227</t>
  </si>
  <si>
    <t>ORD-2025-00228</t>
  </si>
  <si>
    <t>ORD-2025-00229</t>
  </si>
  <si>
    <t>ORD-2025-00230</t>
  </si>
  <si>
    <t>ORD-2025-00231</t>
  </si>
  <si>
    <t>ORD-2025-00232</t>
  </si>
  <si>
    <t>ORD-2025-00233</t>
  </si>
  <si>
    <t>ORD-2025-00234</t>
  </si>
  <si>
    <t>ORD-2025-00235</t>
  </si>
  <si>
    <t>ORD-2025-00236</t>
  </si>
  <si>
    <t>ORD-2025-00237</t>
  </si>
  <si>
    <t>ORD-2025-00238</t>
  </si>
  <si>
    <t>ORD-2025-00239</t>
  </si>
  <si>
    <t>ORD-2025-00240</t>
  </si>
  <si>
    <t>ORD-2025-00241</t>
  </si>
  <si>
    <t>ORD-2025-00242</t>
  </si>
  <si>
    <t>ORD-2025-00243</t>
  </si>
  <si>
    <t>ORD-2025-00244</t>
  </si>
  <si>
    <t>ORD-2025-00245</t>
  </si>
  <si>
    <t>ORD-2025-00246</t>
  </si>
  <si>
    <t>ORD-2025-00247</t>
  </si>
  <si>
    <t>ORD-2025-00248</t>
  </si>
  <si>
    <t>ORD-2025-00249</t>
  </si>
  <si>
    <t>ORD-2025-00250</t>
  </si>
  <si>
    <t>ORD-2025-00251</t>
  </si>
  <si>
    <t>ORD-2025-00252</t>
  </si>
  <si>
    <t>ORD-2025-00253</t>
  </si>
  <si>
    <t>ORD-2025-00254</t>
  </si>
  <si>
    <t>ORD-2025-00255</t>
  </si>
  <si>
    <t>ORD-2025-00256</t>
  </si>
  <si>
    <t>ORD-2025-00257</t>
  </si>
  <si>
    <t>ORD-2025-00258</t>
  </si>
  <si>
    <t>ORD-2025-00259</t>
  </si>
  <si>
    <t>ORD-2025-00260</t>
  </si>
  <si>
    <t>ORD-2025-00261</t>
  </si>
  <si>
    <t>ORD-2025-00262</t>
  </si>
  <si>
    <t>ORD-2025-00263</t>
  </si>
  <si>
    <t>ORD-2025-00264</t>
  </si>
  <si>
    <t>ORD-2025-00265</t>
  </si>
  <si>
    <t>ORD-2025-00266</t>
  </si>
  <si>
    <t>ORD-2025-00267</t>
  </si>
  <si>
    <t>ORD-2025-00268</t>
  </si>
  <si>
    <t>ORD-2025-00269</t>
  </si>
  <si>
    <t>ORD-2025-00270</t>
  </si>
  <si>
    <t>ORD-2025-00271</t>
  </si>
  <si>
    <t>ORD-2025-00272</t>
  </si>
  <si>
    <t>ORD-2025-00273</t>
  </si>
  <si>
    <t>ORD-2025-00274</t>
  </si>
  <si>
    <t>ORD-2025-00275</t>
  </si>
  <si>
    <t>ORD-2025-00276</t>
  </si>
  <si>
    <t>ORD-2025-00277</t>
  </si>
  <si>
    <t>ORD-2025-00278</t>
  </si>
  <si>
    <t>ORD-2025-00279</t>
  </si>
  <si>
    <t>ORD-2025-00280</t>
  </si>
  <si>
    <t>ORD-2025-00281</t>
  </si>
  <si>
    <t>ORD-2025-00282</t>
  </si>
  <si>
    <t>ORD-2025-00283</t>
  </si>
  <si>
    <t>ORD-2025-00284</t>
  </si>
  <si>
    <t>ORD-2025-00285</t>
  </si>
  <si>
    <t>ORD-2025-00286</t>
  </si>
  <si>
    <t>ORD-2025-00287</t>
  </si>
  <si>
    <t>ORD-2025-00288</t>
  </si>
  <si>
    <t>ORD-2025-00289</t>
  </si>
  <si>
    <t>ORD-2025-00290</t>
  </si>
  <si>
    <t>ORD-2025-00291</t>
  </si>
  <si>
    <t>ORD-2025-00292</t>
  </si>
  <si>
    <t>ORD-2025-00293</t>
  </si>
  <si>
    <t>ORD-2025-00294</t>
  </si>
  <si>
    <t>ORD-2025-00295</t>
  </si>
  <si>
    <t>ORD-2025-00296</t>
  </si>
  <si>
    <t>ORD-2025-00297</t>
  </si>
  <si>
    <t>ORD-2025-00298</t>
  </si>
  <si>
    <t>ORD-2025-00299</t>
  </si>
  <si>
    <t>ORD-2025-00300</t>
  </si>
  <si>
    <t>Target Margin</t>
  </si>
  <si>
    <t>Sum of Sales</t>
  </si>
  <si>
    <t>Sum of Profit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</si>
  <si>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</si>
  <si>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</si>
  <si>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</si>
  <si>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</si>
  <si>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</si>
  <si>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</si>
  <si>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</si>
  <si>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</si>
  <si>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</si>
  <si>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</si>
  <si>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</si>
  <si>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</si>
  <si>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</si>
  <si>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</si>
  <si>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</si>
  <si>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Total Sum of Sales</t>
  </si>
  <si>
    <t>Total Sum of Profit</t>
  </si>
  <si>
    <t>Total Sales</t>
  </si>
  <si>
    <t>Total Profit</t>
  </si>
  <si>
    <t>Average Sales</t>
  </si>
  <si>
    <t>Total Quantity</t>
  </si>
  <si>
    <r>
      <t xml:space="preserve">                             </t>
    </r>
    <r>
      <rPr>
        <b/>
        <i/>
        <sz val="20"/>
        <color theme="1"/>
        <rFont val="Calibri"/>
        <family val="2"/>
        <scheme val="minor"/>
      </rPr>
      <t xml:space="preserve">KPI </t>
    </r>
  </si>
  <si>
    <t>Column1</t>
  </si>
  <si>
    <t>Column2</t>
  </si>
  <si>
    <t>Sales&amp;Profit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</si>
</sst>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\$#,##0.00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0" fillId="2" borderId="0" xfId="0" applyFill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Lookup!$B$1</c:f>
              <c:strCache>
                <c:ptCount val="1"/>
                <c:pt idx="0">
                  <c:v>Target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D7-4393-B315-ABD88792F4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D7-4393-B315-ABD88792F4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D7-4393-B315-ABD88792F47A}"/>
              </c:ext>
            </c:extLst>
          </c:dPt>
          <c:cat>
            <c:strRef>
              <c:f>Lookup!$A$2:$A$4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Lookup!$B$2:$B$4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3-4774-A12E-A13C49C3D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analysis.xlsx]Sales &amp; Profit!PivotTable1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Profit'!$A$3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Profit'!$A$4</c:f>
              <c:numCache>
                <c:formatCode>\$#,##0.00</c:formatCode>
                <c:ptCount val="1"/>
                <c:pt idx="0">
                  <c:v>267330.2900000001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F-495D-9A44-7B056F47D479}"/>
            </c:ext>
          </c:extLst>
        </c:ser>
        <c:ser>
          <c:idx val="1"/>
          <c:order val="1"/>
          <c:tx>
            <c:strRef>
              <c:f>'Sales &amp;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Profit'!$B$4</c:f>
              <c:numCache>
                <c:formatCode>\$#,##0.00</c:formatCode>
                <c:ptCount val="1"/>
                <c:pt idx="0">
                  <c:v>13598.340000000002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F-495D-9A44-7B056F47D4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3158328"/>
        <c:axId val="373160488"/>
      </c:barChart>
      <c:catAx>
        <c:axId val="37315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0488"/>
        <c:crosses val="autoZero"/>
        <c:auto val="1"/>
        <c:lblAlgn val="ctr"/>
        <c:lblOffset val="100"/>
        <c:noMultiLvlLbl val="0"/>
      </c:catAx>
      <c:valAx>
        <c:axId val="373160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315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analysis.xlsx]Category-wise Sales &amp; Profit!PivotTable2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Profit'!$B$4:$B$7</c:f>
              <c:numCache>
                <c:formatCode>\$#,##0.00</c:formatCode>
                <c:ptCount val="3"/>
                <c:pt idx="0">
                  <c:v>84919.07</c:v>
                </c:pt>
                <c:pt idx="1">
                  <c:v>80618.219999999987</c:v>
                </c:pt>
                <c:pt idx="2">
                  <c:v>101793.00000000001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4-46AB-B990-6EF0F41D29D4}"/>
            </c:ext>
          </c:extLst>
        </c:ser>
        <c:ser>
          <c:idx val="1"/>
          <c:order val="1"/>
          <c:tx>
            <c:strRef>
              <c:f>'Category-wise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Profit'!$C$4:$C$7</c:f>
              <c:numCache>
                <c:formatCode>\$#,##0.00</c:formatCode>
                <c:ptCount val="3"/>
                <c:pt idx="0">
                  <c:v>4295.1800000000012</c:v>
                </c:pt>
                <c:pt idx="1">
                  <c:v>4522.5700000000006</c:v>
                </c:pt>
                <c:pt idx="2">
                  <c:v>4780.5900000000011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4-46AB-B990-6EF0F41D29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468352"/>
        <c:axId val="138470152"/>
      </c:barChart>
      <c:catAx>
        <c:axId val="1384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0152"/>
        <c:crosses val="autoZero"/>
        <c:auto val="1"/>
        <c:lblAlgn val="ctr"/>
        <c:lblOffset val="100"/>
        <c:noMultiLvlLbl val="0"/>
      </c:catAx>
      <c:valAx>
        <c:axId val="138470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analysis.xlsx]Region-wise Sales &amp; Profit!PivotTable3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Profit'!$B$4:$B$8</c:f>
              <c:numCache>
                <c:formatCode>\$#,##0.00</c:formatCode>
                <c:ptCount val="4"/>
                <c:pt idx="0">
                  <c:v>62376.189999999988</c:v>
                </c:pt>
                <c:pt idx="1">
                  <c:v>82894.570000000022</c:v>
                </c:pt>
                <c:pt idx="2">
                  <c:v>81672.58</c:v>
                </c:pt>
                <c:pt idx="3">
                  <c:v>40386.950000000004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1-47F6-903B-5B13F438C70A}"/>
            </c:ext>
          </c:extLst>
        </c:ser>
        <c:ser>
          <c:idx val="1"/>
          <c:order val="1"/>
          <c:tx>
            <c:strRef>
              <c:f>'Region-wise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Profit'!$C$4:$C$8</c:f>
              <c:numCache>
                <c:formatCode>\$#,##0.00</c:formatCode>
                <c:ptCount val="4"/>
                <c:pt idx="0">
                  <c:v>3731.4200000000005</c:v>
                </c:pt>
                <c:pt idx="1">
                  <c:v>5130.5900000000011</c:v>
                </c:pt>
                <c:pt idx="2">
                  <c:v>3323.0300000000007</c:v>
                </c:pt>
                <c:pt idx="3">
                  <c:v>1413.3000000000004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1-47F6-903B-5B13F438C7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0300208"/>
        <c:axId val="548468568"/>
      </c:barChart>
      <c:catAx>
        <c:axId val="4603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68568"/>
        <c:crosses val="autoZero"/>
        <c:auto val="1"/>
        <c:lblAlgn val="ctr"/>
        <c:lblOffset val="100"/>
        <c:noMultiLvlLbl val="0"/>
      </c:catAx>
      <c:valAx>
        <c:axId val="5484685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4603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analysis.xlsx]Segment-wise Sales&amp;Profit!PivotTable4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Sales&amp;Profit'!$B$4:$B$7</c:f>
              <c:numCache>
                <c:formatCode>\$#,##0.00</c:formatCode>
                <c:ptCount val="3"/>
                <c:pt idx="0">
                  <c:v>78980.650000000023</c:v>
                </c:pt>
                <c:pt idx="1">
                  <c:v>84182.359999999986</c:v>
                </c:pt>
                <c:pt idx="2">
                  <c:v>104167.27999999998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C-4B17-980B-3C31A621AFBC}"/>
            </c:ext>
          </c:extLst>
        </c:ser>
        <c:ser>
          <c:idx val="1"/>
          <c:order val="1"/>
          <c:tx>
            <c:strRef>
              <c:f>'Segment-wise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Sales&amp;Profit'!$C$4:$C$7</c:f>
              <c:numCache>
                <c:formatCode>\$#,##0.00</c:formatCode>
                <c:ptCount val="3"/>
                <c:pt idx="0">
                  <c:v>4704.7399999999989</c:v>
                </c:pt>
                <c:pt idx="1">
                  <c:v>3814.5899999999997</c:v>
                </c:pt>
                <c:pt idx="2">
                  <c:v>5079.0099999999993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C-4B17-980B-3C31A621AF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2449152"/>
        <c:axId val="372448792"/>
      </c:barChart>
      <c:catAx>
        <c:axId val="3724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48792"/>
        <c:crosses val="autoZero"/>
        <c:auto val="1"/>
        <c:lblAlgn val="ctr"/>
        <c:lblOffset val="100"/>
        <c:noMultiLvlLbl val="0"/>
      </c:catAx>
      <c:valAx>
        <c:axId val="3724487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24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analysis.xlsx]Monthly Sales Trend!PivotTable5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\$#,##0.00</c:formatCode>
                <c:ptCount val="12"/>
                <c:pt idx="0">
                  <c:v>20630.829999999998</c:v>
                </c:pt>
                <c:pt idx="1">
                  <c:v>33599.050000000003</c:v>
                </c:pt>
                <c:pt idx="2">
                  <c:v>18961.28</c:v>
                </c:pt>
                <c:pt idx="3">
                  <c:v>16420.150000000001</c:v>
                </c:pt>
                <c:pt idx="4">
                  <c:v>29548.729999999996</c:v>
                </c:pt>
                <c:pt idx="5">
                  <c:v>18368.150000000001</c:v>
                </c:pt>
                <c:pt idx="6">
                  <c:v>13658.260000000002</c:v>
                </c:pt>
                <c:pt idx="7">
                  <c:v>24435.569999999996</c:v>
                </c:pt>
                <c:pt idx="8">
                  <c:v>26105.079999999998</c:v>
                </c:pt>
                <c:pt idx="9">
                  <c:v>20710.46</c:v>
                </c:pt>
                <c:pt idx="10">
                  <c:v>15973.499999999996</c:v>
                </c:pt>
                <c:pt idx="11">
                  <c:v>28919.23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FB5-B25C-60ECE7AF3A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6598480"/>
        <c:axId val="556597760"/>
      </c:barChart>
      <c:catAx>
        <c:axId val="55659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97760"/>
        <c:crosses val="autoZero"/>
        <c:auto val="1"/>
        <c:lblAlgn val="ctr"/>
        <c:lblOffset val="100"/>
        <c:noMultiLvlLbl val="0"/>
      </c:catAx>
      <c:valAx>
        <c:axId val="55659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65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analysis.xlsx]Category+Region Analysis!PivotTable6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'Category+Region Analysis'!$B$3:$B$5</c:f>
              <c:strCache>
                <c:ptCount val="1"/>
                <c:pt idx="0">
                  <c:v>Central - 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Analysis'!$B$6:$B$9</c:f>
              <c:numCache>
                <c:formatCode>\$#,##0.00</c:formatCode>
                <c:ptCount val="3"/>
                <c:pt idx="0">
                  <c:v>18652.949999999997</c:v>
                </c:pt>
                <c:pt idx="1">
                  <c:v>21090.990000000005</c:v>
                </c:pt>
                <c:pt idx="2">
                  <c:v>22632.25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848-A119-3B52C95F4D71}"/>
            </c:ext>
          </c:extLst>
        </c:ser>
        <c:ser>
          <c:idx val="1"/>
          <c:order val="1"/>
          <c:tx>
            <c:strRef>
              <c:f>'Category+Region Analysis'!$C$3:$C$5</c:f>
              <c:strCache>
                <c:ptCount val="1"/>
                <c:pt idx="0">
                  <c:v>Central - 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Analysis'!$C$6:$C$9</c:f>
              <c:numCache>
                <c:formatCode>\$#,##0.00</c:formatCode>
                <c:ptCount val="3"/>
                <c:pt idx="0">
                  <c:v>907.29999999999984</c:v>
                </c:pt>
                <c:pt idx="1">
                  <c:v>1891.19</c:v>
                </c:pt>
                <c:pt idx="2">
                  <c:v>932.93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1-4848-A119-3B52C95F4D71}"/>
            </c:ext>
          </c:extLst>
        </c:ser>
        <c:ser>
          <c:idx val="2"/>
          <c:order val="2"/>
          <c:tx>
            <c:strRef>
              <c:f>'Category+Region Analysis'!$D$3:$D$5</c:f>
              <c:strCache>
                <c:ptCount val="1"/>
                <c:pt idx="0">
                  <c:v>East - Sum of Sales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Analysis'!$D$6:$D$9</c:f>
              <c:numCache>
                <c:formatCode>\$#,##0.00</c:formatCode>
                <c:ptCount val="3"/>
                <c:pt idx="0">
                  <c:v>27240.489999999998</c:v>
                </c:pt>
                <c:pt idx="1">
                  <c:v>21372.170000000002</c:v>
                </c:pt>
                <c:pt idx="2">
                  <c:v>34281.910000000003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1-4848-A119-3B52C95F4D71}"/>
            </c:ext>
          </c:extLst>
        </c:ser>
        <c:ser>
          <c:idx val="3"/>
          <c:order val="3"/>
          <c:tx>
            <c:strRef>
              <c:f>'Category+Region Analysis'!$E$3:$E$5</c:f>
              <c:strCache>
                <c:ptCount val="1"/>
                <c:pt idx="0">
                  <c:v>East - Sum of Profit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Analysis'!$E$6:$E$9</c:f>
              <c:numCache>
                <c:formatCode>\$#,##0.00</c:formatCode>
                <c:ptCount val="3"/>
                <c:pt idx="0">
                  <c:v>1834.62</c:v>
                </c:pt>
                <c:pt idx="1">
                  <c:v>1576.48</c:v>
                </c:pt>
                <c:pt idx="2">
                  <c:v>1719.4900000000002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71-4848-A119-3B52C95F4D71}"/>
            </c:ext>
          </c:extLst>
        </c:ser>
        <c:ser>
          <c:idx val="4"/>
          <c:order val="4"/>
          <c:tx>
            <c:strRef>
              <c:f>'Category+Region Analysis'!$F$3:$F$5</c:f>
              <c:strCache>
                <c:ptCount val="1"/>
                <c:pt idx="0">
                  <c:v>South - Sum of Sales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Analysis'!$F$6:$F$9</c:f>
              <c:numCache>
                <c:formatCode>\$#,##0.00</c:formatCode>
                <c:ptCount val="3"/>
                <c:pt idx="0">
                  <c:v>26705.489999999991</c:v>
                </c:pt>
                <c:pt idx="1">
                  <c:v>23303.53</c:v>
                </c:pt>
                <c:pt idx="2">
                  <c:v>31663.559999999994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71-4848-A119-3B52C95F4D71}"/>
            </c:ext>
          </c:extLst>
        </c:ser>
        <c:ser>
          <c:idx val="5"/>
          <c:order val="5"/>
          <c:tx>
            <c:strRef>
              <c:f>'Category+Region Analysis'!$G$3:$G$5</c:f>
              <c:strCache>
                <c:ptCount val="1"/>
                <c:pt idx="0">
                  <c:v>South - Sum of Profit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Analysis'!$G$6:$G$9</c:f>
              <c:numCache>
                <c:formatCode>\$#,##0.00</c:formatCode>
                <c:ptCount val="3"/>
                <c:pt idx="0">
                  <c:v>588.97</c:v>
                </c:pt>
                <c:pt idx="1">
                  <c:v>886.24999999999966</c:v>
                </c:pt>
                <c:pt idx="2">
                  <c:v>1847.81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71-4848-A119-3B52C95F4D71}"/>
            </c:ext>
          </c:extLst>
        </c:ser>
        <c:ser>
          <c:idx val="6"/>
          <c:order val="6"/>
          <c:tx>
            <c:strRef>
              <c:f>'Category+Region Analysis'!$H$3:$H$5</c:f>
              <c:strCache>
                <c:ptCount val="1"/>
                <c:pt idx="0">
                  <c:v>West - Sum of Sales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Analysis'!$H$6:$H$9</c:f>
              <c:numCache>
                <c:formatCode>\$#,##0.00</c:formatCode>
                <c:ptCount val="3"/>
                <c:pt idx="0">
                  <c:v>12320.140000000001</c:v>
                </c:pt>
                <c:pt idx="1">
                  <c:v>14851.529999999999</c:v>
                </c:pt>
                <c:pt idx="2">
                  <c:v>13215.279999999997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71-4848-A119-3B52C95F4D71}"/>
            </c:ext>
          </c:extLst>
        </c:ser>
        <c:ser>
          <c:idx val="7"/>
          <c:order val="7"/>
          <c:tx>
            <c:strRef>
              <c:f>'Category+Region Analysis'!$I$3:$I$5</c:f>
              <c:strCache>
                <c:ptCount val="1"/>
                <c:pt idx="0">
                  <c:v>West - Sum of Profit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Analysis'!$I$6:$I$9</c:f>
              <c:numCache>
                <c:formatCode>\$#,##0.00</c:formatCode>
                <c:ptCount val="3"/>
                <c:pt idx="0">
                  <c:v>964.29000000000042</c:v>
                </c:pt>
                <c:pt idx="1">
                  <c:v>168.64999999999998</c:v>
                </c:pt>
                <c:pt idx="2">
                  <c:v>280.36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71-4848-A119-3B52C95F4D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7755656"/>
        <c:axId val="557757096"/>
      </c:barChart>
      <c:catAx>
        <c:axId val="55775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57096"/>
        <c:crosses val="autoZero"/>
        <c:auto val="1"/>
        <c:lblAlgn val="ctr"/>
        <c:lblOffset val="100"/>
        <c:noMultiLvlLbl val="0"/>
      </c:catAx>
      <c:valAx>
        <c:axId val="5577570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775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analysis.xlsx]State-wise Sales&amp;Profit!PivotTable7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Sales&amp;Profit'!$B$4:$B$14</c:f>
              <c:numCache>
                <c:formatCode>\$#,##0.00</c:formatCode>
                <c:ptCount val="10"/>
                <c:pt idx="0">
                  <c:v>18715.07</c:v>
                </c:pt>
                <c:pt idx="1">
                  <c:v>35889.51999999999</c:v>
                </c:pt>
                <c:pt idx="2">
                  <c:v>18441.09</c:v>
                </c:pt>
                <c:pt idx="3">
                  <c:v>31046.349999999995</c:v>
                </c:pt>
                <c:pt idx="4">
                  <c:v>29333.229999999996</c:v>
                </c:pt>
                <c:pt idx="5">
                  <c:v>27341.96999999999</c:v>
                </c:pt>
                <c:pt idx="6">
                  <c:v>28227.340000000007</c:v>
                </c:pt>
                <c:pt idx="7">
                  <c:v>25334</c:v>
                </c:pt>
                <c:pt idx="8">
                  <c:v>31329.839999999997</c:v>
                </c:pt>
                <c:pt idx="9">
                  <c:v>21671.880000000005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E-4619-9FDE-00B68DF23BEB}"/>
            </c:ext>
          </c:extLst>
        </c:ser>
        <c:ser>
          <c:idx val="1"/>
          <c:order val="1"/>
          <c:tx>
            <c:strRef>
              <c:f>'State-wise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Sales&amp;Profit'!$C$4:$C$14</c:f>
              <c:numCache>
                <c:formatCode>\$#,##0.00</c:formatCode>
                <c:ptCount val="10"/>
                <c:pt idx="0">
                  <c:v>706.37000000000012</c:v>
                </c:pt>
                <c:pt idx="1">
                  <c:v>1024.1899999999998</c:v>
                </c:pt>
                <c:pt idx="2">
                  <c:v>545.45999999999992</c:v>
                </c:pt>
                <c:pt idx="3">
                  <c:v>2866.45</c:v>
                </c:pt>
                <c:pt idx="4">
                  <c:v>1514.0900000000001</c:v>
                </c:pt>
                <c:pt idx="5">
                  <c:v>1753.3799999999999</c:v>
                </c:pt>
                <c:pt idx="6">
                  <c:v>1370.8</c:v>
                </c:pt>
                <c:pt idx="7">
                  <c:v>2245.7000000000003</c:v>
                </c:pt>
                <c:pt idx="8">
                  <c:v>864.9699999999998</c:v>
                </c:pt>
                <c:pt idx="9">
                  <c:v>706.93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E-4619-9FDE-00B68DF23B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9238128"/>
        <c:axId val="559234528"/>
      </c:barChart>
      <c:catAx>
        <c:axId val="5592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34528"/>
        <c:crosses val="autoZero"/>
        <c:auto val="1"/>
        <c:lblAlgn val="ctr"/>
        <c:lblOffset val="100"/>
        <c:noMultiLvlLbl val="0"/>
      </c:catAx>
      <c:valAx>
        <c:axId val="559234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923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Summary'!$A$3:$A$6</c:f>
              <c:strCache>
                <c:ptCount val="4"/>
                <c:pt idx="0">
                  <c:v>Total Sales</c:v>
                </c:pt>
                <c:pt idx="1">
                  <c:v>Total Profit</c:v>
                </c:pt>
                <c:pt idx="2">
                  <c:v>Total Quantity</c:v>
                </c:pt>
                <c:pt idx="3">
                  <c:v>Average Sales</c:v>
                </c:pt>
              </c:strCache>
            </c:strRef>
          </c:cat>
          <c:val>
            <c:numRef>
              <c:f>'KPI Summary'!$B$3:$B$6</c:f>
              <c:numCache>
                <c:formatCode>"$"#,##0_);[Red]\("$"#,##0\)</c:formatCode>
                <c:ptCount val="4"/>
                <c:pt idx="0">
                  <c:v>267330.28999999998</c:v>
                </c:pt>
                <c:pt idx="1">
                  <c:v>13598.34</c:v>
                </c:pt>
                <c:pt idx="2" formatCode="General">
                  <c:v>1717</c:v>
                </c:pt>
                <c:pt idx="3" formatCode="General">
                  <c:v>891.10096666666698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C-4475-8BF5-C685EF9F5A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1043744"/>
        <c:axId val="556609704"/>
      </c:barChart>
      <c:catAx>
        <c:axId val="5610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09704"/>
        <c:crosses val="autoZero"/>
        <c:auto val="1"/>
        <c:lblAlgn val="ctr"/>
        <c:lblOffset val="100"/>
        <c:noMultiLvlLbl val="0"/>
      </c:catAx>
      <c:valAx>
        <c:axId val="556609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56104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analysis.xlsx]Sales &amp; Profit!PivotTable1</c:name>
    <c:fmtId val="7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Profit'!$A$3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Profit'!$A$4</c:f>
              <c:numCache>
                <c:formatCode>\$#,##0.00</c:formatCode>
                <c:ptCount val="1"/>
                <c:pt idx="0">
                  <c:v>267330.2900000001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A-4AB9-97BA-723E8AAB241D}"/>
            </c:ext>
          </c:extLst>
        </c:ser>
        <c:ser>
          <c:idx val="1"/>
          <c:order val="1"/>
          <c:tx>
            <c:strRef>
              <c:f>'Sales &amp;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Profit'!$B$4</c:f>
              <c:numCache>
                <c:formatCode>\$#,##0.00</c:formatCode>
                <c:ptCount val="1"/>
                <c:pt idx="0">
                  <c:v>13598.340000000002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A-4AB9-97BA-723E8AAB24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3158328"/>
        <c:axId val="373160488"/>
      </c:barChart>
      <c:catAx>
        <c:axId val="37315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0488"/>
        <c:crosses val="autoZero"/>
        <c:auto val="1"/>
        <c:lblAlgn val="ctr"/>
        <c:lblOffset val="100"/>
        <c:noMultiLvlLbl val="0"/>
      </c:catAx>
      <c:valAx>
        <c:axId val="373160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315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analysis.xlsx]Category-wise Sales &amp; Profit!PivotTable2</c:name>
    <c:fmtId val="5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Profit'!$B$4:$B$7</c:f>
              <c:numCache>
                <c:formatCode>\$#,##0.00</c:formatCode>
                <c:ptCount val="3"/>
                <c:pt idx="0">
                  <c:v>84919.07</c:v>
                </c:pt>
                <c:pt idx="1">
                  <c:v>80618.219999999987</c:v>
                </c:pt>
                <c:pt idx="2">
                  <c:v>101793.00000000001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2-4754-ADF7-3A6C64B0316D}"/>
            </c:ext>
          </c:extLst>
        </c:ser>
        <c:ser>
          <c:idx val="1"/>
          <c:order val="1"/>
          <c:tx>
            <c:strRef>
              <c:f>'Category-wise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Profit'!$C$4:$C$7</c:f>
              <c:numCache>
                <c:formatCode>\$#,##0.00</c:formatCode>
                <c:ptCount val="3"/>
                <c:pt idx="0">
                  <c:v>4295.1800000000012</c:v>
                </c:pt>
                <c:pt idx="1">
                  <c:v>4522.5700000000006</c:v>
                </c:pt>
                <c:pt idx="2">
                  <c:v>4780.5900000000011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2-4754-ADF7-3A6C64B031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468352"/>
        <c:axId val="138470152"/>
      </c:barChart>
      <c:catAx>
        <c:axId val="1384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0152"/>
        <c:crosses val="autoZero"/>
        <c:auto val="1"/>
        <c:lblAlgn val="ctr"/>
        <c:lblOffset val="100"/>
        <c:noMultiLvlLbl val="0"/>
      </c:catAx>
      <c:valAx>
        <c:axId val="138470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analysis.xlsx]Region-wise Sales &amp; Profit!PivotTable3</c:name>
    <c:fmtId val="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Profit'!$B$4:$B$8</c:f>
              <c:numCache>
                <c:formatCode>\$#,##0.00</c:formatCode>
                <c:ptCount val="4"/>
                <c:pt idx="0">
                  <c:v>62376.189999999988</c:v>
                </c:pt>
                <c:pt idx="1">
                  <c:v>82894.570000000022</c:v>
                </c:pt>
                <c:pt idx="2">
                  <c:v>81672.58</c:v>
                </c:pt>
                <c:pt idx="3">
                  <c:v>40386.950000000004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0-429D-BE09-278649862ECB}"/>
            </c:ext>
          </c:extLst>
        </c:ser>
        <c:ser>
          <c:idx val="1"/>
          <c:order val="1"/>
          <c:tx>
            <c:strRef>
              <c:f>'Region-wise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Profit'!$C$4:$C$8</c:f>
              <c:numCache>
                <c:formatCode>\$#,##0.00</c:formatCode>
                <c:ptCount val="4"/>
                <c:pt idx="0">
                  <c:v>3731.4200000000005</c:v>
                </c:pt>
                <c:pt idx="1">
                  <c:v>5130.5900000000011</c:v>
                </c:pt>
                <c:pt idx="2">
                  <c:v>3323.0300000000007</c:v>
                </c:pt>
                <c:pt idx="3">
                  <c:v>1413.3000000000004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0-429D-BE09-278649862E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0300208"/>
        <c:axId val="548468568"/>
      </c:barChart>
      <c:catAx>
        <c:axId val="4603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68568"/>
        <c:crosses val="autoZero"/>
        <c:auto val="1"/>
        <c:lblAlgn val="ctr"/>
        <c:lblOffset val="100"/>
        <c:noMultiLvlLbl val="0"/>
      </c:catAx>
      <c:valAx>
        <c:axId val="5484685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4603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analysis.xlsx]Segment-wise Sales&amp;Profit!PivotTable4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Sales&amp;Profit'!$B$4:$B$7</c:f>
              <c:numCache>
                <c:formatCode>\$#,##0.00</c:formatCode>
                <c:ptCount val="3"/>
                <c:pt idx="0">
                  <c:v>78980.650000000023</c:v>
                </c:pt>
                <c:pt idx="1">
                  <c:v>84182.359999999986</c:v>
                </c:pt>
                <c:pt idx="2">
                  <c:v>104167.27999999998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A-47C4-A370-C357A8335B0C}"/>
            </c:ext>
          </c:extLst>
        </c:ser>
        <c:ser>
          <c:idx val="1"/>
          <c:order val="1"/>
          <c:tx>
            <c:strRef>
              <c:f>'Segment-wise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Sales&amp;Profit'!$C$4:$C$7</c:f>
              <c:numCache>
                <c:formatCode>\$#,##0.00</c:formatCode>
                <c:ptCount val="3"/>
                <c:pt idx="0">
                  <c:v>4704.7399999999989</c:v>
                </c:pt>
                <c:pt idx="1">
                  <c:v>3814.5899999999997</c:v>
                </c:pt>
                <c:pt idx="2">
                  <c:v>5079.0099999999993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FA-47C4-A370-C357A8335B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2449152"/>
        <c:axId val="372448792"/>
      </c:barChart>
      <c:catAx>
        <c:axId val="3724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48792"/>
        <c:crosses val="autoZero"/>
        <c:auto val="1"/>
        <c:lblAlgn val="ctr"/>
        <c:lblOffset val="100"/>
        <c:noMultiLvlLbl val="0"/>
      </c:catAx>
      <c:valAx>
        <c:axId val="3724487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24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analysis.xlsx]Monthly Sales Trend!PivotTable5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\$#,##0.00</c:formatCode>
                <c:ptCount val="12"/>
                <c:pt idx="0">
                  <c:v>20630.829999999998</c:v>
                </c:pt>
                <c:pt idx="1">
                  <c:v>33599.050000000003</c:v>
                </c:pt>
                <c:pt idx="2">
                  <c:v>18961.28</c:v>
                </c:pt>
                <c:pt idx="3">
                  <c:v>16420.150000000001</c:v>
                </c:pt>
                <c:pt idx="4">
                  <c:v>29548.729999999996</c:v>
                </c:pt>
                <c:pt idx="5">
                  <c:v>18368.150000000001</c:v>
                </c:pt>
                <c:pt idx="6">
                  <c:v>13658.260000000002</c:v>
                </c:pt>
                <c:pt idx="7">
                  <c:v>24435.569999999996</c:v>
                </c:pt>
                <c:pt idx="8">
                  <c:v>26105.079999999998</c:v>
                </c:pt>
                <c:pt idx="9">
                  <c:v>20710.46</c:v>
                </c:pt>
                <c:pt idx="10">
                  <c:v>15973.499999999996</c:v>
                </c:pt>
                <c:pt idx="11">
                  <c:v>28919.23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C-49C7-959A-483F4AC8D6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6598480"/>
        <c:axId val="556597760"/>
      </c:barChart>
      <c:catAx>
        <c:axId val="55659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97760"/>
        <c:crosses val="autoZero"/>
        <c:auto val="1"/>
        <c:lblAlgn val="ctr"/>
        <c:lblOffset val="100"/>
        <c:noMultiLvlLbl val="0"/>
      </c:catAx>
      <c:valAx>
        <c:axId val="55659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65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analysis.xlsx]Category+Region Analysis!PivotTable6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'Category+Region Analysis'!$B$3:$B$5</c:f>
              <c:strCache>
                <c:ptCount val="1"/>
                <c:pt idx="0">
                  <c:v>Central - 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Analysis'!$B$6:$B$9</c:f>
              <c:numCache>
                <c:formatCode>\$#,##0.00</c:formatCode>
                <c:ptCount val="3"/>
                <c:pt idx="0">
                  <c:v>18652.949999999997</c:v>
                </c:pt>
                <c:pt idx="1">
                  <c:v>21090.990000000005</c:v>
                </c:pt>
                <c:pt idx="2">
                  <c:v>22632.25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B-4882-90F6-01A650D2DD61}"/>
            </c:ext>
          </c:extLst>
        </c:ser>
        <c:ser>
          <c:idx val="1"/>
          <c:order val="1"/>
          <c:tx>
            <c:strRef>
              <c:f>'Category+Region Analysis'!$C$3:$C$5</c:f>
              <c:strCache>
                <c:ptCount val="1"/>
                <c:pt idx="0">
                  <c:v>Central - 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Analysis'!$C$6:$C$9</c:f>
              <c:numCache>
                <c:formatCode>\$#,##0.00</c:formatCode>
                <c:ptCount val="3"/>
                <c:pt idx="0">
                  <c:v>907.29999999999984</c:v>
                </c:pt>
                <c:pt idx="1">
                  <c:v>1891.19</c:v>
                </c:pt>
                <c:pt idx="2">
                  <c:v>932.93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B-4882-90F6-01A650D2DD61}"/>
            </c:ext>
          </c:extLst>
        </c:ser>
        <c:ser>
          <c:idx val="2"/>
          <c:order val="2"/>
          <c:tx>
            <c:strRef>
              <c:f>'Category+Region Analysis'!$D$3:$D$5</c:f>
              <c:strCache>
                <c:ptCount val="1"/>
                <c:pt idx="0">
                  <c:v>East - Sum of Sales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Analysis'!$D$6:$D$9</c:f>
              <c:numCache>
                <c:formatCode>\$#,##0.00</c:formatCode>
                <c:ptCount val="3"/>
                <c:pt idx="0">
                  <c:v>27240.489999999998</c:v>
                </c:pt>
                <c:pt idx="1">
                  <c:v>21372.170000000002</c:v>
                </c:pt>
                <c:pt idx="2">
                  <c:v>34281.910000000003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B-4882-90F6-01A650D2DD61}"/>
            </c:ext>
          </c:extLst>
        </c:ser>
        <c:ser>
          <c:idx val="3"/>
          <c:order val="3"/>
          <c:tx>
            <c:strRef>
              <c:f>'Category+Region Analysis'!$E$3:$E$5</c:f>
              <c:strCache>
                <c:ptCount val="1"/>
                <c:pt idx="0">
                  <c:v>East - Sum of Profit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Analysis'!$E$6:$E$9</c:f>
              <c:numCache>
                <c:formatCode>\$#,##0.00</c:formatCode>
                <c:ptCount val="3"/>
                <c:pt idx="0">
                  <c:v>1834.62</c:v>
                </c:pt>
                <c:pt idx="1">
                  <c:v>1576.48</c:v>
                </c:pt>
                <c:pt idx="2">
                  <c:v>1719.4900000000002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B-4882-90F6-01A650D2DD61}"/>
            </c:ext>
          </c:extLst>
        </c:ser>
        <c:ser>
          <c:idx val="4"/>
          <c:order val="4"/>
          <c:tx>
            <c:strRef>
              <c:f>'Category+Region Analysis'!$F$3:$F$5</c:f>
              <c:strCache>
                <c:ptCount val="1"/>
                <c:pt idx="0">
                  <c:v>South - Sum of Sales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Analysis'!$F$6:$F$9</c:f>
              <c:numCache>
                <c:formatCode>\$#,##0.00</c:formatCode>
                <c:ptCount val="3"/>
                <c:pt idx="0">
                  <c:v>26705.489999999991</c:v>
                </c:pt>
                <c:pt idx="1">
                  <c:v>23303.53</c:v>
                </c:pt>
                <c:pt idx="2">
                  <c:v>31663.559999999994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B-4882-90F6-01A650D2DD61}"/>
            </c:ext>
          </c:extLst>
        </c:ser>
        <c:ser>
          <c:idx val="5"/>
          <c:order val="5"/>
          <c:tx>
            <c:strRef>
              <c:f>'Category+Region Analysis'!$G$3:$G$5</c:f>
              <c:strCache>
                <c:ptCount val="1"/>
                <c:pt idx="0">
                  <c:v>South - Sum of Profit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Analysis'!$G$6:$G$9</c:f>
              <c:numCache>
                <c:formatCode>\$#,##0.00</c:formatCode>
                <c:ptCount val="3"/>
                <c:pt idx="0">
                  <c:v>588.97</c:v>
                </c:pt>
                <c:pt idx="1">
                  <c:v>886.24999999999966</c:v>
                </c:pt>
                <c:pt idx="2">
                  <c:v>1847.81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CB-4882-90F6-01A650D2DD61}"/>
            </c:ext>
          </c:extLst>
        </c:ser>
        <c:ser>
          <c:idx val="6"/>
          <c:order val="6"/>
          <c:tx>
            <c:strRef>
              <c:f>'Category+Region Analysis'!$H$3:$H$5</c:f>
              <c:strCache>
                <c:ptCount val="1"/>
                <c:pt idx="0">
                  <c:v>West - Sum of Sales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Analysis'!$H$6:$H$9</c:f>
              <c:numCache>
                <c:formatCode>\$#,##0.00</c:formatCode>
                <c:ptCount val="3"/>
                <c:pt idx="0">
                  <c:v>12320.140000000001</c:v>
                </c:pt>
                <c:pt idx="1">
                  <c:v>14851.529999999999</c:v>
                </c:pt>
                <c:pt idx="2">
                  <c:v>13215.279999999997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CB-4882-90F6-01A650D2DD61}"/>
            </c:ext>
          </c:extLst>
        </c:ser>
        <c:ser>
          <c:idx val="7"/>
          <c:order val="7"/>
          <c:tx>
            <c:strRef>
              <c:f>'Category+Region Analysis'!$I$3:$I$5</c:f>
              <c:strCache>
                <c:ptCount val="1"/>
                <c:pt idx="0">
                  <c:v>West - Sum of Profit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Analysis'!$I$6:$I$9</c:f>
              <c:numCache>
                <c:formatCode>\$#,##0.00</c:formatCode>
                <c:ptCount val="3"/>
                <c:pt idx="0">
                  <c:v>964.29000000000042</c:v>
                </c:pt>
                <c:pt idx="1">
                  <c:v>168.64999999999998</c:v>
                </c:pt>
                <c:pt idx="2">
                  <c:v>280.36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CB-4882-90F6-01A650D2DD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7755656"/>
        <c:axId val="557757096"/>
      </c:barChart>
      <c:catAx>
        <c:axId val="55775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57096"/>
        <c:crosses val="autoZero"/>
        <c:auto val="1"/>
        <c:lblAlgn val="ctr"/>
        <c:lblOffset val="100"/>
        <c:noMultiLvlLbl val="0"/>
      </c:catAx>
      <c:valAx>
        <c:axId val="5577570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775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 analysis.xlsx]State-wise Sales&amp;Profit!PivotTable7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Sales&amp;Profit'!$B$4:$B$14</c:f>
              <c:numCache>
                <c:formatCode>\$#,##0.00</c:formatCode>
                <c:ptCount val="10"/>
                <c:pt idx="0">
                  <c:v>18715.07</c:v>
                </c:pt>
                <c:pt idx="1">
                  <c:v>35889.51999999999</c:v>
                </c:pt>
                <c:pt idx="2">
                  <c:v>18441.09</c:v>
                </c:pt>
                <c:pt idx="3">
                  <c:v>31046.349999999995</c:v>
                </c:pt>
                <c:pt idx="4">
                  <c:v>29333.229999999996</c:v>
                </c:pt>
                <c:pt idx="5">
                  <c:v>27341.96999999999</c:v>
                </c:pt>
                <c:pt idx="6">
                  <c:v>28227.340000000007</c:v>
                </c:pt>
                <c:pt idx="7">
                  <c:v>25334</c:v>
                </c:pt>
                <c:pt idx="8">
                  <c:v>31329.839999999997</c:v>
                </c:pt>
                <c:pt idx="9">
                  <c:v>21671.880000000005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E-4265-92F1-9107488F0F92}"/>
            </c:ext>
          </c:extLst>
        </c:ser>
        <c:ser>
          <c:idx val="1"/>
          <c:order val="1"/>
          <c:tx>
            <c:strRef>
              <c:f>'State-wise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Sales&amp;Profit'!$C$4:$C$14</c:f>
              <c:numCache>
                <c:formatCode>\$#,##0.00</c:formatCode>
                <c:ptCount val="10"/>
                <c:pt idx="0">
                  <c:v>706.37000000000012</c:v>
                </c:pt>
                <c:pt idx="1">
                  <c:v>1024.1899999999998</c:v>
                </c:pt>
                <c:pt idx="2">
                  <c:v>545.45999999999992</c:v>
                </c:pt>
                <c:pt idx="3">
                  <c:v>2866.45</c:v>
                </c:pt>
                <c:pt idx="4">
                  <c:v>1514.0900000000001</c:v>
                </c:pt>
                <c:pt idx="5">
                  <c:v>1753.3799999999999</c:v>
                </c:pt>
                <c:pt idx="6">
                  <c:v>1370.8</c:v>
                </c:pt>
                <c:pt idx="7">
                  <c:v>2245.7000000000003</c:v>
                </c:pt>
                <c:pt idx="8">
                  <c:v>864.9699999999998</c:v>
                </c:pt>
                <c:pt idx="9">
                  <c:v>706.93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E-4265-92F1-9107488F0F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9238128"/>
        <c:axId val="559234528"/>
      </c:barChart>
      <c:catAx>
        <c:axId val="5592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34528"/>
        <c:crosses val="autoZero"/>
        <c:auto val="1"/>
        <c:lblAlgn val="ctr"/>
        <c:lblOffset val="100"/>
        <c:noMultiLvlLbl val="0"/>
      </c:catAx>
      <c:valAx>
        <c:axId val="559234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923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Summary'!$A$3:$A$6</c:f>
              <c:strCache>
                <c:ptCount val="4"/>
                <c:pt idx="0">
                  <c:v>Total Sales</c:v>
                </c:pt>
                <c:pt idx="1">
                  <c:v>Total Profit</c:v>
                </c:pt>
                <c:pt idx="2">
                  <c:v>Total Quantity</c:v>
                </c:pt>
                <c:pt idx="3">
                  <c:v>Average Sales</c:v>
                </c:pt>
              </c:strCache>
            </c:strRef>
          </c:cat>
          <c:val>
            <c:numRef>
              <c:f>'KPI Summary'!$B$3:$B$6</c:f>
              <c:numCache>
                <c:formatCode>"$"#,##0_);[Red]\("$"#,##0\)</c:formatCode>
                <c:ptCount val="4"/>
                <c:pt idx="0">
                  <c:v>267330.28999999998</c:v>
                </c:pt>
                <c:pt idx="1">
                  <c:v>13598.34</c:v>
                </c:pt>
                <c:pt idx="2" formatCode="General">
                  <c:v>1717</c:v>
                </c:pt>
                <c:pt idx="3" formatCode="General">
                  <c:v>891.10096666666698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9-4C02-8ACD-8A9E69D431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1043744"/>
        <c:axId val="556609704"/>
      </c:barChart>
      <c:catAx>
        <c:axId val="5610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09704"/>
        <c:crosses val="autoZero"/>
        <c:auto val="1"/>
        <c:lblAlgn val="ctr"/>
        <c:lblOffset val="100"/>
        <c:noMultiLvlLbl val="0"/>
      </c:catAx>
      <c:valAx>
        <c:axId val="556609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56104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180981</xdr:rowOff>
    </xdr:from>
    <xdr:to>
      <xdr:col>10</xdr:col>
      <xdr:colOff>304800</xdr:colOff>
      <xdr:row>17</xdr:row>
      <xdr:rowOff>66681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DED83-9408-4DF8-2118-F546EE139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4762</xdr:rowOff>
    </xdr:from>
    <xdr:to>
      <xdr:col>10</xdr:col>
      <xdr:colOff>304800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D72E3-62C9-2B42-777E-9E7BDCDF5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14287</xdr:rowOff>
    </xdr:from>
    <xdr:to>
      <xdr:col>11</xdr:col>
      <xdr:colOff>304800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6323F-DD9C-E736-4BC0-A2E9A4460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4762</xdr:rowOff>
    </xdr:from>
    <xdr:to>
      <xdr:col>11</xdr:col>
      <xdr:colOff>304800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18D62-40AB-E645-5E1F-9B270E865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4762</xdr:rowOff>
    </xdr:from>
    <xdr:to>
      <xdr:col>11</xdr:col>
      <xdr:colOff>304800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A88DE-AFD8-5947-7979-D0DC7026F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166687</xdr:rowOff>
    </xdr:from>
    <xdr:to>
      <xdr:col>10</xdr:col>
      <xdr:colOff>304800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ED03B-1368-79EB-72DB-AF3B91B38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10</xdr:row>
      <xdr:rowOff>4762</xdr:rowOff>
    </xdr:from>
    <xdr:to>
      <xdr:col>7</xdr:col>
      <xdr:colOff>447675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E14D1-8231-F998-9089-C55C21847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4762</xdr:rowOff>
    </xdr:from>
    <xdr:to>
      <xdr:col>11</xdr:col>
      <xdr:colOff>295275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BA3012-63BC-5AA5-8D29-7D09DABB0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4762</xdr:rowOff>
    </xdr:from>
    <xdr:to>
      <xdr:col>10</xdr:col>
      <xdr:colOff>304800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E225C-FCB9-26AA-B73C-0BBE012B6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</xdr:rowOff>
    </xdr:from>
    <xdr:to>
      <xdr:col>6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E0E67-765D-45B2-9D91-4758702ED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0</xdr:row>
      <xdr:rowOff>190499</xdr:rowOff>
    </xdr:from>
    <xdr:to>
      <xdr:col>10</xdr:col>
      <xdr:colOff>600074</xdr:colOff>
      <xdr:row>11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78A29-2913-4BD3-B800-672158A79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0</xdr:row>
      <xdr:rowOff>171450</xdr:rowOff>
    </xdr:from>
    <xdr:to>
      <xdr:col>15</xdr:col>
      <xdr:colOff>600075</xdr:colOff>
      <xdr:row>10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1FB26-9DAC-48EC-BAB7-69CB65906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14</xdr:row>
      <xdr:rowOff>9526</xdr:rowOff>
    </xdr:from>
    <xdr:to>
      <xdr:col>6</xdr:col>
      <xdr:colOff>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693B23-CBC7-43B8-929D-D96EF4BCE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11</xdr:col>
      <xdr:colOff>0</xdr:colOff>
      <xdr:row>22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67627F-B5FF-4037-B683-E27C95AAB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</xdr:row>
      <xdr:rowOff>180975</xdr:rowOff>
    </xdr:from>
    <xdr:to>
      <xdr:col>15</xdr:col>
      <xdr:colOff>581025</xdr:colOff>
      <xdr:row>23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00D6E2-1BE6-48C9-BB6F-F76335A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9525</xdr:colOff>
      <xdr:row>25</xdr:row>
      <xdr:rowOff>0</xdr:rowOff>
    </xdr:from>
    <xdr:to>
      <xdr:col>6</xdr:col>
      <xdr:colOff>9525</xdr:colOff>
      <xdr:row>34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C11CDE-C12B-41BB-BA3B-A50FB97FF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600075</xdr:colOff>
      <xdr:row>24</xdr:row>
      <xdr:rowOff>180975</xdr:rowOff>
    </xdr:from>
    <xdr:to>
      <xdr:col>11</xdr:col>
      <xdr:colOff>9525</xdr:colOff>
      <xdr:row>33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043640-194C-437C-867A-B4D8CD07D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6.60185983796" createdVersion="8" refreshedVersion="8" minRefreshableVersion="3" recordCount="300" xr:uid="{8848C12F-AEC8-447A-B642-4036041D4B9C}">
  <cacheSource type="worksheet">
    <worksheetSource ref="A1:R301" sheet="Raw_Data"/>
  </cacheSource>
  <cacheFields count="20">
    <cacheField name="Row ID" numFmtId="0">
      <sharedItems containsSemiMixedTypes="0" containsString="0" containsNumber="1" containsInteger="1" minValue="1" maxValue="300"/>
    </cacheField>
    <cacheField name="Order ID" numFmtId="0">
      <sharedItems/>
    </cacheField>
    <cacheField name="Order Date" numFmtId="165">
      <sharedItems containsSemiMixedTypes="0" containsNonDate="0" containsDate="1" containsString="0" minDate="2025-01-02T00:00:00" maxDate="2025-12-31T00:00:00" count="203">
        <d v="2025-11-24T00:00:00"/>
        <d v="2025-02-17T00:00:00"/>
        <d v="2025-06-24T00:00:00"/>
        <d v="2025-08-24T00:00:00"/>
        <d v="2025-05-29T00:00:00"/>
        <d v="2025-11-08T00:00:00"/>
        <d v="2025-01-17T00:00:00"/>
        <d v="2025-03-15T00:00:00"/>
        <d v="2025-01-25T00:00:00"/>
        <d v="2025-10-11T00:00:00"/>
        <d v="2025-09-14T00:00:00"/>
        <d v="2025-11-03T00:00:00"/>
        <d v="2025-09-30T00:00:00"/>
        <d v="2025-12-20T00:00:00"/>
        <d v="2025-10-29T00:00:00"/>
        <d v="2025-05-23T00:00:00"/>
        <d v="2025-12-04T00:00:00"/>
        <d v="2025-02-25T00:00:00"/>
        <d v="2025-01-26T00:00:00"/>
        <d v="2025-07-19T00:00:00"/>
        <d v="2025-10-24T00:00:00"/>
        <d v="2025-02-05T00:00:00"/>
        <d v="2025-05-14T00:00:00"/>
        <d v="2025-02-07T00:00:00"/>
        <d v="2025-11-10T00:00:00"/>
        <d v="2025-05-25T00:00:00"/>
        <d v="2025-01-23T00:00:00"/>
        <d v="2025-10-07T00:00:00"/>
        <d v="2025-12-08T00:00:00"/>
        <d v="2025-07-30T00:00:00"/>
        <d v="2025-04-25T00:00:00"/>
        <d v="2025-01-15T00:00:00"/>
        <d v="2025-07-17T00:00:00"/>
        <d v="2025-11-16T00:00:00"/>
        <d v="2025-12-07T00:00:00"/>
        <d v="2025-06-14T00:00:00"/>
        <d v="2025-12-23T00:00:00"/>
        <d v="2025-08-15T00:00:00"/>
        <d v="2025-09-24T00:00:00"/>
        <d v="2025-04-29T00:00:00"/>
        <d v="2025-10-27T00:00:00"/>
        <d v="2025-09-07T00:00:00"/>
        <d v="2025-11-15T00:00:00"/>
        <d v="2025-07-14T00:00:00"/>
        <d v="2025-01-10T00:00:00"/>
        <d v="2025-03-20T00:00:00"/>
        <d v="2025-02-28T00:00:00"/>
        <d v="2025-10-31T00:00:00"/>
        <d v="2025-09-25T00:00:00"/>
        <d v="2025-08-26T00:00:00"/>
        <d v="2025-05-24T00:00:00"/>
        <d v="2025-11-27T00:00:00"/>
        <d v="2025-08-06T00:00:00"/>
        <d v="2025-04-09T00:00:00"/>
        <d v="2025-04-02T00:00:00"/>
        <d v="2025-01-07T00:00:00"/>
        <d v="2025-09-09T00:00:00"/>
        <d v="2025-11-17T00:00:00"/>
        <d v="2025-05-30T00:00:00"/>
        <d v="2025-08-13T00:00:00"/>
        <d v="2025-06-15T00:00:00"/>
        <d v="2025-09-23T00:00:00"/>
        <d v="2025-03-24T00:00:00"/>
        <d v="2025-05-03T00:00:00"/>
        <d v="2025-09-13T00:00:00"/>
        <d v="2025-06-26T00:00:00"/>
        <d v="2025-08-14T00:00:00"/>
        <d v="2025-05-01T00:00:00"/>
        <d v="2025-03-31T00:00:00"/>
        <d v="2025-08-22T00:00:00"/>
        <d v="2025-05-21T00:00:00"/>
        <d v="2025-04-23T00:00:00"/>
        <d v="2025-05-12T00:00:00"/>
        <d v="2025-10-13T00:00:00"/>
        <d v="2025-03-01T00:00:00"/>
        <d v="2025-04-22T00:00:00"/>
        <d v="2025-03-04T00:00:00"/>
        <d v="2025-10-04T00:00:00"/>
        <d v="2025-03-06T00:00:00"/>
        <d v="2025-08-21T00:00:00"/>
        <d v="2025-06-23T00:00:00"/>
        <d v="2025-02-16T00:00:00"/>
        <d v="2025-12-10T00:00:00"/>
        <d v="2025-02-23T00:00:00"/>
        <d v="2025-08-08T00:00:00"/>
        <d v="2025-03-22T00:00:00"/>
        <d v="2025-12-12T00:00:00"/>
        <d v="2025-08-09T00:00:00"/>
        <d v="2025-03-12T00:00:00"/>
        <d v="2025-02-06T00:00:00"/>
        <d v="2025-08-02T00:00:00"/>
        <d v="2025-08-12T00:00:00"/>
        <d v="2025-09-19T00:00:00"/>
        <d v="2025-04-12T00:00:00"/>
        <d v="2025-11-18T00:00:00"/>
        <d v="2025-08-25T00:00:00"/>
        <d v="2025-02-22T00:00:00"/>
        <d v="2025-07-29T00:00:00"/>
        <d v="2025-06-20T00:00:00"/>
        <d v="2025-06-08T00:00:00"/>
        <d v="2025-12-05T00:00:00"/>
        <d v="2025-07-06T00:00:00"/>
        <d v="2025-12-14T00:00:00"/>
        <d v="2025-05-09T00:00:00"/>
        <d v="2025-09-20T00:00:00"/>
        <d v="2025-02-11T00:00:00"/>
        <d v="2025-12-28T00:00:00"/>
        <d v="2025-02-26T00:00:00"/>
        <d v="2025-11-20T00:00:00"/>
        <d v="2025-09-26T00:00:00"/>
        <d v="2025-02-04T00:00:00"/>
        <d v="2025-07-08T00:00:00"/>
        <d v="2025-02-12T00:00:00"/>
        <d v="2025-06-06T00:00:00"/>
        <d v="2025-02-08T00:00:00"/>
        <d v="2025-09-29T00:00:00"/>
        <d v="2025-05-15T00:00:00"/>
        <d v="2025-02-14T00:00:00"/>
        <d v="2025-12-15T00:00:00"/>
        <d v="2025-03-26T00:00:00"/>
        <d v="2025-10-16T00:00:00"/>
        <d v="2025-06-13T00:00:00"/>
        <d v="2025-06-17T00:00:00"/>
        <d v="2025-09-16T00:00:00"/>
        <d v="2025-11-07T00:00:00"/>
        <d v="2025-11-02T00:00:00"/>
        <d v="2025-02-01T00:00:00"/>
        <d v="2025-10-15T00:00:00"/>
        <d v="2025-08-30T00:00:00"/>
        <d v="2025-02-15T00:00:00"/>
        <d v="2025-04-06T00:00:00"/>
        <d v="2025-05-20T00:00:00"/>
        <d v="2025-11-11T00:00:00"/>
        <d v="2025-05-07T00:00:00"/>
        <d v="2025-10-21T00:00:00"/>
        <d v="2025-01-29T00:00:00"/>
        <d v="2025-01-02T00:00:00"/>
        <d v="2025-04-03T00:00:00"/>
        <d v="2025-05-02T00:00:00"/>
        <d v="2025-09-11T00:00:00"/>
        <d v="2025-05-04T00:00:00"/>
        <d v="2025-05-05T00:00:00"/>
        <d v="2025-09-03T00:00:00"/>
        <d v="2025-06-07T00:00:00"/>
        <d v="2025-01-04T00:00:00"/>
        <d v="2025-01-09T00:00:00"/>
        <d v="2025-07-11T00:00:00"/>
        <d v="2025-09-28T00:00:00"/>
        <d v="2025-04-17T00:00:00"/>
        <d v="2025-07-16T00:00:00"/>
        <d v="2025-08-16T00:00:00"/>
        <d v="2025-10-20T00:00:00"/>
        <d v="2025-08-04T00:00:00"/>
        <d v="2025-12-21T00:00:00"/>
        <d v="2025-08-18T00:00:00"/>
        <d v="2025-04-24T00:00:00"/>
        <d v="2025-06-01T00:00:00"/>
        <d v="2025-09-22T00:00:00"/>
        <d v="2025-07-22T00:00:00"/>
        <d v="2025-10-23T00:00:00"/>
        <d v="2025-11-09T00:00:00"/>
        <d v="2025-06-10T00:00:00"/>
        <d v="2025-09-06T00:00:00"/>
        <d v="2025-03-27T00:00:00"/>
        <d v="2025-10-09T00:00:00"/>
        <d v="2025-05-22T00:00:00"/>
        <d v="2025-05-18T00:00:00"/>
        <d v="2025-12-16T00:00:00"/>
        <d v="2025-06-04T00:00:00"/>
        <d v="2025-12-25T00:00:00"/>
        <d v="2025-01-05T00:00:00"/>
        <d v="2025-03-05T00:00:00"/>
        <d v="2025-03-21T00:00:00"/>
        <d v="2025-06-27T00:00:00"/>
        <d v="2025-06-21T00:00:00"/>
        <d v="2025-10-18T00:00:00"/>
        <d v="2025-12-02T00:00:00"/>
        <d v="2025-03-19T00:00:00"/>
        <d v="2025-04-16T00:00:00"/>
        <d v="2025-08-11T00:00:00"/>
        <d v="2025-08-20T00:00:00"/>
        <d v="2025-02-18T00:00:00"/>
        <d v="2025-10-26T00:00:00"/>
        <d v="2025-01-22T00:00:00"/>
        <d v="2025-01-30T00:00:00"/>
        <d v="2025-11-05T00:00:00"/>
        <d v="2025-01-12T00:00:00"/>
        <d v="2025-10-28T00:00:00"/>
        <d v="2025-02-21T00:00:00"/>
        <d v="2025-02-19T00:00:00"/>
        <d v="2025-04-13T00:00:00"/>
        <d v="2025-04-26T00:00:00"/>
        <d v="2025-07-18T00:00:00"/>
        <d v="2025-03-03T00:00:00"/>
        <d v="2025-11-01T00:00:00"/>
        <d v="2025-02-27T00:00:00"/>
        <d v="2025-05-16T00:00:00"/>
        <d v="2025-03-10T00:00:00"/>
        <d v="2025-05-08T00:00:00"/>
        <d v="2025-05-26T00:00:00"/>
        <d v="2025-12-30T00:00:00"/>
        <d v="2025-12-18T00:00:00"/>
        <d v="2025-05-13T00:00:00"/>
      </sharedItems>
      <fieldGroup par="19"/>
    </cacheField>
    <cacheField name="Ship Date" numFmtId="165">
      <sharedItems containsSemiMixedTypes="0" containsNonDate="0" containsDate="1" containsString="0" minDate="2025-01-04T00:00:00" maxDate="2026-01-03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 count="10">
        <s v="California"/>
        <s v="Illinois"/>
        <s v="Texas"/>
        <s v="Washington"/>
        <s v="Georgia"/>
        <s v="Ohio"/>
        <s v="Florida"/>
        <s v="New York"/>
        <s v="Pennsylvania"/>
        <s v="North Carolina"/>
      </sharedItems>
    </cacheField>
    <cacheField name="Region" numFmtId="0">
      <sharedItems count="4">
        <s v="West"/>
        <s v="Central"/>
        <s v="South"/>
        <s v="East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Sales" numFmtId="164">
      <sharedItems containsSemiMixedTypes="0" containsString="0" containsNumber="1" minValue="21.22" maxValue="1799.3"/>
    </cacheField>
    <cacheField name="Quantity" numFmtId="0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3"/>
    </cacheField>
    <cacheField name="Profit" numFmtId="164">
      <sharedItems containsSemiMixedTypes="0" containsString="0" containsNumber="1" minValue="-189.16" maxValue="376.19"/>
    </cacheField>
    <cacheField name="Days (Order Date)" numFmtId="0" databaseField="0">
      <fieldGroup base="2">
        <rangePr groupBy="days" startDate="2025-01-02T00:00:00" endDate="2025-12-3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5"/>
        </groupItems>
      </fieldGroup>
    </cacheField>
    <cacheField name="Months (Order Date)" numFmtId="0" databaseField="0">
      <fieldGroup base="2">
        <rangePr groupBy="months" startDate="2025-01-02T00:00:00" endDate="2025-12-3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ORD-2025-00001"/>
    <x v="0"/>
    <d v="2025-11-25T00:00:00"/>
    <s v="Standard Class"/>
    <s v="CUST-1037"/>
    <s v="Arjun Malhotra"/>
    <x v="0"/>
    <s v="United States"/>
    <s v="Los Angeles"/>
    <x v="0"/>
    <x v="0"/>
    <x v="0"/>
    <s v="Machines"/>
    <n v="455.91"/>
    <n v="3"/>
    <n v="0.2"/>
    <n v="-42.91"/>
  </r>
  <r>
    <n v="2"/>
    <s v="ORD-2025-00002"/>
    <x v="1"/>
    <d v="2025-02-19T00:00:00"/>
    <s v="First Class"/>
    <s v="CUST-1000"/>
    <s v="Vansh Kumar"/>
    <x v="0"/>
    <s v="United States"/>
    <s v="Springfield"/>
    <x v="1"/>
    <x v="1"/>
    <x v="0"/>
    <s v="Phones"/>
    <n v="1019.02"/>
    <n v="9"/>
    <n v="0.1"/>
    <n v="-38.57"/>
  </r>
  <r>
    <n v="3"/>
    <s v="ORD-2025-00003"/>
    <x v="2"/>
    <d v="2025-06-27T00:00:00"/>
    <s v="First Class"/>
    <s v="CUST-1038"/>
    <s v="Priya Singh"/>
    <x v="0"/>
    <s v="United States"/>
    <s v="Austin"/>
    <x v="2"/>
    <x v="1"/>
    <x v="1"/>
    <s v="Tables"/>
    <n v="201.93"/>
    <n v="7"/>
    <n v="0"/>
    <n v="5.18"/>
  </r>
  <r>
    <n v="4"/>
    <s v="ORD-2025-00004"/>
    <x v="3"/>
    <d v="2025-08-29T00:00:00"/>
    <s v="Second Class"/>
    <s v="CUST-1045"/>
    <s v="Ananya Sharma"/>
    <x v="0"/>
    <s v="United States"/>
    <s v="Seattle"/>
    <x v="3"/>
    <x v="0"/>
    <x v="2"/>
    <s v="Binders"/>
    <n v="1002.63"/>
    <n v="10"/>
    <n v="0.3"/>
    <n v="-18.48"/>
  </r>
  <r>
    <n v="5"/>
    <s v="ORD-2025-00005"/>
    <x v="4"/>
    <d v="2025-05-30T00:00:00"/>
    <s v="Second Class"/>
    <s v="CUST-1042"/>
    <s v="Priya Singh"/>
    <x v="1"/>
    <s v="United States"/>
    <s v="Chicago"/>
    <x v="1"/>
    <x v="1"/>
    <x v="1"/>
    <s v="Furnishings"/>
    <n v="514.79"/>
    <n v="6"/>
    <n v="0"/>
    <n v="15.22"/>
  </r>
  <r>
    <n v="6"/>
    <s v="ORD-2025-00006"/>
    <x v="5"/>
    <d v="2025-11-10T00:00:00"/>
    <s v="Second Class"/>
    <s v="CUST-1043"/>
    <s v="Neha Kapoor"/>
    <x v="0"/>
    <s v="United States"/>
    <s v="Atlanta"/>
    <x v="4"/>
    <x v="2"/>
    <x v="0"/>
    <s v="Accessories"/>
    <n v="310.86"/>
    <n v="7"/>
    <n v="0.05"/>
    <n v="74.239999999999995"/>
  </r>
  <r>
    <n v="7"/>
    <s v="ORD-2025-00007"/>
    <x v="6"/>
    <d v="2025-01-20T00:00:00"/>
    <s v="Same Day"/>
    <s v="CUST-1025"/>
    <s v="Dev Patel"/>
    <x v="1"/>
    <s v="United States"/>
    <s v="Cleveland"/>
    <x v="5"/>
    <x v="3"/>
    <x v="2"/>
    <s v="Binders"/>
    <n v="395.55"/>
    <n v="10"/>
    <n v="0.2"/>
    <n v="-7.86"/>
  </r>
  <r>
    <n v="8"/>
    <s v="ORD-2025-00008"/>
    <x v="7"/>
    <d v="2025-03-18T00:00:00"/>
    <s v="Second Class"/>
    <s v="CUST-1008"/>
    <s v="Aditya Jain"/>
    <x v="2"/>
    <s v="United States"/>
    <s v="Houston"/>
    <x v="2"/>
    <x v="1"/>
    <x v="1"/>
    <s v="Tables"/>
    <n v="1349.68"/>
    <n v="7"/>
    <n v="0.15"/>
    <n v="23.34"/>
  </r>
  <r>
    <n v="9"/>
    <s v="ORD-2025-00009"/>
    <x v="8"/>
    <d v="2025-01-26T00:00:00"/>
    <s v="Same Day"/>
    <s v="CUST-1038"/>
    <s v="Simran Kaur"/>
    <x v="1"/>
    <s v="United States"/>
    <s v="Dallas"/>
    <x v="2"/>
    <x v="1"/>
    <x v="0"/>
    <s v="Accessories"/>
    <n v="1429.9"/>
    <n v="7"/>
    <n v="0.15"/>
    <n v="-143.37"/>
  </r>
  <r>
    <n v="10"/>
    <s v="ORD-2025-00010"/>
    <x v="9"/>
    <d v="2025-10-12T00:00:00"/>
    <s v="Second Class"/>
    <s v="CUST-1029"/>
    <s v="Aarav Mehta"/>
    <x v="1"/>
    <s v="United States"/>
    <s v="Spokane"/>
    <x v="3"/>
    <x v="0"/>
    <x v="0"/>
    <s v="Machines"/>
    <n v="1388.11"/>
    <n v="6"/>
    <n v="0"/>
    <n v="3.78"/>
  </r>
  <r>
    <n v="11"/>
    <s v="ORD-2025-00011"/>
    <x v="10"/>
    <d v="2025-09-16T00:00:00"/>
    <s v="First Class"/>
    <s v="CUST-1048"/>
    <s v="Riya Gupta"/>
    <x v="1"/>
    <s v="United States"/>
    <s v="Atlanta"/>
    <x v="4"/>
    <x v="2"/>
    <x v="1"/>
    <s v="Tables"/>
    <n v="1518.17"/>
    <n v="9"/>
    <n v="0.15"/>
    <n v="-80.28"/>
  </r>
  <r>
    <n v="12"/>
    <s v="ORD-2025-00012"/>
    <x v="11"/>
    <d v="2025-11-06T00:00:00"/>
    <s v="Standard Class"/>
    <s v="CUST-1005"/>
    <s v="Ishita Roy"/>
    <x v="2"/>
    <s v="United States"/>
    <s v="Miami"/>
    <x v="6"/>
    <x v="2"/>
    <x v="1"/>
    <s v="Bookcases"/>
    <n v="1673.8"/>
    <n v="5"/>
    <n v="0"/>
    <n v="-133.44999999999999"/>
  </r>
  <r>
    <n v="13"/>
    <s v="ORD-2025-00013"/>
    <x v="12"/>
    <d v="2025-10-02T00:00:00"/>
    <s v="Same Day"/>
    <s v="CUST-1013"/>
    <s v="Dev Patel"/>
    <x v="1"/>
    <s v="United States"/>
    <s v="Austin"/>
    <x v="2"/>
    <x v="1"/>
    <x v="0"/>
    <s v="Copiers"/>
    <n v="1705.39"/>
    <n v="3"/>
    <n v="0.05"/>
    <n v="131.63"/>
  </r>
  <r>
    <n v="14"/>
    <s v="ORD-2025-00014"/>
    <x v="13"/>
    <d v="2025-12-22T00:00:00"/>
    <s v="Second Class"/>
    <s v="CUST-1014"/>
    <s v="Ananya Sharma"/>
    <x v="2"/>
    <s v="United States"/>
    <s v="New York City"/>
    <x v="7"/>
    <x v="3"/>
    <x v="2"/>
    <s v="Envelopes"/>
    <n v="1176.78"/>
    <n v="8"/>
    <n v="0.15"/>
    <n v="41.8"/>
  </r>
  <r>
    <n v="15"/>
    <s v="ORD-2025-00015"/>
    <x v="14"/>
    <d v="2025-11-03T00:00:00"/>
    <s v="Standard Class"/>
    <s v="CUST-1021"/>
    <s v="Ananya Sharma"/>
    <x v="1"/>
    <s v="United States"/>
    <s v="Chicago"/>
    <x v="1"/>
    <x v="1"/>
    <x v="0"/>
    <s v="Accessories"/>
    <n v="32.799999999999997"/>
    <n v="1"/>
    <n v="0"/>
    <n v="-2.5099999999999998"/>
  </r>
  <r>
    <n v="16"/>
    <s v="ORD-2025-00016"/>
    <x v="15"/>
    <d v="2025-05-27T00:00:00"/>
    <s v="Same Day"/>
    <s v="CUST-1026"/>
    <s v="Rahul Verma"/>
    <x v="0"/>
    <s v="United States"/>
    <s v="Chicago"/>
    <x v="1"/>
    <x v="1"/>
    <x v="0"/>
    <s v="Accessories"/>
    <n v="1307.57"/>
    <n v="10"/>
    <n v="0.15"/>
    <n v="56.14"/>
  </r>
  <r>
    <n v="17"/>
    <s v="ORD-2025-00017"/>
    <x v="16"/>
    <d v="2025-12-08T00:00:00"/>
    <s v="Standard Class"/>
    <s v="CUST-1003"/>
    <s v="Arjun Malhotra"/>
    <x v="1"/>
    <s v="United States"/>
    <s v="Pittsburgh"/>
    <x v="8"/>
    <x v="3"/>
    <x v="2"/>
    <s v="Art"/>
    <n v="851.3"/>
    <n v="1"/>
    <n v="0.2"/>
    <n v="84.03"/>
  </r>
  <r>
    <n v="18"/>
    <s v="ORD-2025-00018"/>
    <x v="17"/>
    <d v="2025-02-27T00:00:00"/>
    <s v="Standard Class"/>
    <s v="CUST-1028"/>
    <s v="Vansh Kumar"/>
    <x v="1"/>
    <s v="United States"/>
    <s v="Chicago"/>
    <x v="1"/>
    <x v="1"/>
    <x v="1"/>
    <s v="Furnishings"/>
    <n v="269.52"/>
    <n v="3"/>
    <n v="0.05"/>
    <n v="14.67"/>
  </r>
  <r>
    <n v="19"/>
    <s v="ORD-2025-00019"/>
    <x v="18"/>
    <d v="2025-01-31T00:00:00"/>
    <s v="Same Day"/>
    <s v="CUST-1003"/>
    <s v="Riya Gupta"/>
    <x v="2"/>
    <s v="United States"/>
    <s v="Los Angeles"/>
    <x v="0"/>
    <x v="0"/>
    <x v="1"/>
    <s v="Chairs"/>
    <n v="316.02999999999997"/>
    <n v="8"/>
    <n v="0.1"/>
    <n v="-12.7"/>
  </r>
  <r>
    <n v="20"/>
    <s v="ORD-2025-00020"/>
    <x v="19"/>
    <d v="2025-07-22T00:00:00"/>
    <s v="Second Class"/>
    <s v="CUST-1012"/>
    <s v="Priya Singh"/>
    <x v="0"/>
    <s v="United States"/>
    <s v="Miami"/>
    <x v="6"/>
    <x v="2"/>
    <x v="2"/>
    <s v="Art"/>
    <n v="1259.93"/>
    <n v="9"/>
    <n v="0.2"/>
    <n v="153.01"/>
  </r>
  <r>
    <n v="21"/>
    <s v="ORD-2025-00021"/>
    <x v="20"/>
    <d v="2025-10-29T00:00:00"/>
    <s v="Second Class"/>
    <s v="CUST-1003"/>
    <s v="Aditya Jain"/>
    <x v="0"/>
    <s v="United States"/>
    <s v="Los Angeles"/>
    <x v="0"/>
    <x v="0"/>
    <x v="0"/>
    <s v="Machines"/>
    <n v="121.75"/>
    <n v="10"/>
    <n v="0.1"/>
    <n v="7.43"/>
  </r>
  <r>
    <n v="22"/>
    <s v="ORD-2025-00022"/>
    <x v="21"/>
    <d v="2025-02-10T00:00:00"/>
    <s v="Standard Class"/>
    <s v="CUST-1039"/>
    <s v="Ananya Sharma"/>
    <x v="2"/>
    <s v="United States"/>
    <s v="Spokane"/>
    <x v="3"/>
    <x v="0"/>
    <x v="0"/>
    <s v="Accessories"/>
    <n v="738.72"/>
    <n v="10"/>
    <n v="0"/>
    <n v="75.81"/>
  </r>
  <r>
    <n v="23"/>
    <s v="ORD-2025-00023"/>
    <x v="22"/>
    <d v="2025-05-16T00:00:00"/>
    <s v="Standard Class"/>
    <s v="CUST-1000"/>
    <s v="Simran Kaur"/>
    <x v="1"/>
    <s v="United States"/>
    <s v="Philadelphia"/>
    <x v="8"/>
    <x v="3"/>
    <x v="1"/>
    <s v="Tables"/>
    <n v="724.5"/>
    <n v="5"/>
    <n v="0.1"/>
    <n v="-3.14"/>
  </r>
  <r>
    <n v="24"/>
    <s v="ORD-2025-00024"/>
    <x v="23"/>
    <d v="2025-02-12T00:00:00"/>
    <s v="First Class"/>
    <s v="CUST-1018"/>
    <s v="Riya Gupta"/>
    <x v="2"/>
    <s v="United States"/>
    <s v="Springfield"/>
    <x v="1"/>
    <x v="1"/>
    <x v="0"/>
    <s v="Machines"/>
    <n v="255.77"/>
    <n v="6"/>
    <n v="0"/>
    <n v="53.13"/>
  </r>
  <r>
    <n v="25"/>
    <s v="ORD-2025-00025"/>
    <x v="24"/>
    <d v="2025-11-15T00:00:00"/>
    <s v="Standard Class"/>
    <s v="CUST-1047"/>
    <s v="Aditya Jain"/>
    <x v="0"/>
    <s v="United States"/>
    <s v="San Francisco"/>
    <x v="0"/>
    <x v="0"/>
    <x v="0"/>
    <s v="Machines"/>
    <n v="1678.53"/>
    <n v="2"/>
    <n v="0"/>
    <n v="-12.48"/>
  </r>
  <r>
    <n v="26"/>
    <s v="ORD-2025-00026"/>
    <x v="25"/>
    <d v="2025-05-30T00:00:00"/>
    <s v="Standard Class"/>
    <s v="CUST-1005"/>
    <s v="Rohan Bansal"/>
    <x v="2"/>
    <s v="United States"/>
    <s v="Springfield"/>
    <x v="1"/>
    <x v="1"/>
    <x v="0"/>
    <s v="Machines"/>
    <n v="382.4"/>
    <n v="5"/>
    <n v="0.15"/>
    <n v="18.54"/>
  </r>
  <r>
    <n v="27"/>
    <s v="ORD-2025-00027"/>
    <x v="26"/>
    <d v="2025-01-24T00:00:00"/>
    <s v="Standard Class"/>
    <s v="CUST-1007"/>
    <s v="Ananya Sharma"/>
    <x v="1"/>
    <s v="United States"/>
    <s v="Philadelphia"/>
    <x v="8"/>
    <x v="3"/>
    <x v="1"/>
    <s v="Tables"/>
    <n v="307.62"/>
    <n v="8"/>
    <n v="0.15"/>
    <n v="38.29"/>
  </r>
  <r>
    <n v="28"/>
    <s v="ORD-2025-00028"/>
    <x v="27"/>
    <d v="2025-10-08T00:00:00"/>
    <s v="Standard Class"/>
    <s v="CUST-1022"/>
    <s v="Rahul Verma"/>
    <x v="1"/>
    <s v="United States"/>
    <s v="Philadelphia"/>
    <x v="8"/>
    <x v="3"/>
    <x v="0"/>
    <s v="Accessories"/>
    <n v="785.02"/>
    <n v="1"/>
    <n v="0.05"/>
    <n v="15.8"/>
  </r>
  <r>
    <n v="29"/>
    <s v="ORD-2025-00029"/>
    <x v="28"/>
    <d v="2025-12-09T00:00:00"/>
    <s v="Second Class"/>
    <s v="CUST-1026"/>
    <s v="Aarav Mehta"/>
    <x v="0"/>
    <s v="United States"/>
    <s v="Pittsburgh"/>
    <x v="8"/>
    <x v="3"/>
    <x v="0"/>
    <s v="Copiers"/>
    <n v="1753.43"/>
    <n v="3"/>
    <n v="0"/>
    <n v="355.27"/>
  </r>
  <r>
    <n v="30"/>
    <s v="ORD-2025-00030"/>
    <x v="29"/>
    <d v="2025-08-01T00:00:00"/>
    <s v="Second Class"/>
    <s v="CUST-1029"/>
    <s v="Neha Kapoor"/>
    <x v="2"/>
    <s v="United States"/>
    <s v="New York City"/>
    <x v="7"/>
    <x v="3"/>
    <x v="1"/>
    <s v="Bookcases"/>
    <n v="700.92"/>
    <n v="1"/>
    <n v="0.3"/>
    <n v="13.84"/>
  </r>
  <r>
    <n v="31"/>
    <s v="ORD-2025-00031"/>
    <x v="30"/>
    <d v="2025-04-26T00:00:00"/>
    <s v="Same Day"/>
    <s v="CUST-1043"/>
    <s v="Meera Joshi"/>
    <x v="1"/>
    <s v="United States"/>
    <s v="Springfield"/>
    <x v="1"/>
    <x v="1"/>
    <x v="2"/>
    <s v="Storage"/>
    <n v="515.91"/>
    <n v="2"/>
    <n v="0.3"/>
    <n v="-24.41"/>
  </r>
  <r>
    <n v="32"/>
    <s v="ORD-2025-00032"/>
    <x v="31"/>
    <d v="2025-01-16T00:00:00"/>
    <s v="First Class"/>
    <s v="CUST-1027"/>
    <s v="Kavya Agarwal"/>
    <x v="1"/>
    <s v="United States"/>
    <s v="New York City"/>
    <x v="7"/>
    <x v="3"/>
    <x v="1"/>
    <s v="Tables"/>
    <n v="88.1"/>
    <n v="10"/>
    <n v="0.1"/>
    <n v="0.53"/>
  </r>
  <r>
    <n v="33"/>
    <s v="ORD-2025-00033"/>
    <x v="32"/>
    <d v="2025-07-22T00:00:00"/>
    <s v="Second Class"/>
    <s v="CUST-1023"/>
    <s v="Arjun Malhotra"/>
    <x v="0"/>
    <s v="United States"/>
    <s v="Springfield"/>
    <x v="1"/>
    <x v="1"/>
    <x v="2"/>
    <s v="Binders"/>
    <n v="1281.6400000000001"/>
    <n v="1"/>
    <n v="0.15"/>
    <n v="258.19"/>
  </r>
  <r>
    <n v="34"/>
    <s v="ORD-2025-00034"/>
    <x v="33"/>
    <d v="2025-11-19T00:00:00"/>
    <s v="First Class"/>
    <s v="CUST-1035"/>
    <s v="Riya Gupta"/>
    <x v="0"/>
    <s v="United States"/>
    <s v="Spokane"/>
    <x v="3"/>
    <x v="0"/>
    <x v="0"/>
    <s v="Machines"/>
    <n v="922.68"/>
    <n v="7"/>
    <n v="0.05"/>
    <n v="30.76"/>
  </r>
  <r>
    <n v="35"/>
    <s v="ORD-2025-00035"/>
    <x v="34"/>
    <d v="2025-12-11T00:00:00"/>
    <s v="Same Day"/>
    <s v="CUST-1050"/>
    <s v="Kavya Agarwal"/>
    <x v="1"/>
    <s v="United States"/>
    <s v="Austin"/>
    <x v="2"/>
    <x v="1"/>
    <x v="0"/>
    <s v="Machines"/>
    <n v="742.81"/>
    <n v="1"/>
    <n v="0.05"/>
    <n v="-5.26"/>
  </r>
  <r>
    <n v="36"/>
    <s v="ORD-2025-00036"/>
    <x v="35"/>
    <d v="2025-06-18T00:00:00"/>
    <s v="Second Class"/>
    <s v="CUST-1042"/>
    <s v="Ananya Sharma"/>
    <x v="2"/>
    <s v="United States"/>
    <s v="Orlando"/>
    <x v="6"/>
    <x v="2"/>
    <x v="2"/>
    <s v="Envelopes"/>
    <n v="400.39"/>
    <n v="8"/>
    <n v="0.3"/>
    <n v="68.23"/>
  </r>
  <r>
    <n v="37"/>
    <s v="ORD-2025-00037"/>
    <x v="1"/>
    <d v="2025-02-19T00:00:00"/>
    <s v="Standard Class"/>
    <s v="CUST-1029"/>
    <s v="Arjun Malhotra"/>
    <x v="1"/>
    <s v="United States"/>
    <s v="New York City"/>
    <x v="7"/>
    <x v="3"/>
    <x v="1"/>
    <s v="Chairs"/>
    <n v="282.29000000000002"/>
    <n v="1"/>
    <n v="0"/>
    <n v="68.989999999999995"/>
  </r>
  <r>
    <n v="38"/>
    <s v="ORD-2025-00038"/>
    <x v="36"/>
    <d v="2025-12-27T00:00:00"/>
    <s v="Standard Class"/>
    <s v="CUST-1049"/>
    <s v="Arjun Malhotra"/>
    <x v="0"/>
    <s v="United States"/>
    <s v="Miami"/>
    <x v="6"/>
    <x v="2"/>
    <x v="2"/>
    <s v="Paper"/>
    <n v="282.68"/>
    <n v="1"/>
    <n v="0.3"/>
    <n v="44.14"/>
  </r>
  <r>
    <n v="39"/>
    <s v="ORD-2025-00039"/>
    <x v="36"/>
    <d v="2025-12-28T00:00:00"/>
    <s v="Same Day"/>
    <s v="CUST-1042"/>
    <s v="Aditya Jain"/>
    <x v="1"/>
    <s v="United States"/>
    <s v="Orlando"/>
    <x v="6"/>
    <x v="2"/>
    <x v="1"/>
    <s v="Chairs"/>
    <n v="1653.1"/>
    <n v="2"/>
    <n v="0.1"/>
    <n v="-112.96"/>
  </r>
  <r>
    <n v="40"/>
    <s v="ORD-2025-00040"/>
    <x v="37"/>
    <d v="2025-08-20T00:00:00"/>
    <s v="Same Day"/>
    <s v="CUST-1016"/>
    <s v="Vansh Kumar"/>
    <x v="0"/>
    <s v="United States"/>
    <s v="Savannah"/>
    <x v="4"/>
    <x v="2"/>
    <x v="2"/>
    <s v="Labels"/>
    <n v="813.73"/>
    <n v="3"/>
    <n v="0.2"/>
    <n v="139.57"/>
  </r>
  <r>
    <n v="41"/>
    <s v="ORD-2025-00041"/>
    <x v="38"/>
    <d v="2025-09-28T00:00:00"/>
    <s v="First Class"/>
    <s v="CUST-1034"/>
    <s v="Ananya Sharma"/>
    <x v="0"/>
    <s v="United States"/>
    <s v="Chicago"/>
    <x v="1"/>
    <x v="1"/>
    <x v="2"/>
    <s v="Art"/>
    <n v="157.91999999999999"/>
    <n v="5"/>
    <n v="0"/>
    <n v="-0.77"/>
  </r>
  <r>
    <n v="42"/>
    <s v="ORD-2025-00042"/>
    <x v="39"/>
    <d v="2025-05-03T00:00:00"/>
    <s v="Same Day"/>
    <s v="CUST-1003"/>
    <s v="Rahul Verma"/>
    <x v="2"/>
    <s v="United States"/>
    <s v="Dallas"/>
    <x v="2"/>
    <x v="1"/>
    <x v="0"/>
    <s v="Accessories"/>
    <n v="134.33000000000001"/>
    <n v="7"/>
    <n v="0.05"/>
    <n v="11.07"/>
  </r>
  <r>
    <n v="43"/>
    <s v="ORD-2025-00043"/>
    <x v="40"/>
    <d v="2025-10-28T00:00:00"/>
    <s v="Same Day"/>
    <s v="CUST-1034"/>
    <s v="Ishita Roy"/>
    <x v="1"/>
    <s v="United States"/>
    <s v="Charlotte"/>
    <x v="9"/>
    <x v="2"/>
    <x v="2"/>
    <s v="Art"/>
    <n v="30.5"/>
    <n v="6"/>
    <n v="0.05"/>
    <n v="4.76"/>
  </r>
  <r>
    <n v="44"/>
    <s v="ORD-2025-00044"/>
    <x v="41"/>
    <d v="2025-09-09T00:00:00"/>
    <s v="Same Day"/>
    <s v="CUST-1046"/>
    <s v="Riya Gupta"/>
    <x v="2"/>
    <s v="United States"/>
    <s v="New York City"/>
    <x v="7"/>
    <x v="3"/>
    <x v="2"/>
    <s v="Art"/>
    <n v="71.66"/>
    <n v="6"/>
    <n v="0.2"/>
    <n v="7.72"/>
  </r>
  <r>
    <n v="45"/>
    <s v="ORD-2025-00045"/>
    <x v="42"/>
    <d v="2025-11-20T00:00:00"/>
    <s v="Second Class"/>
    <s v="CUST-1029"/>
    <s v="Riya Gupta"/>
    <x v="0"/>
    <s v="United States"/>
    <s v="San Francisco"/>
    <x v="0"/>
    <x v="0"/>
    <x v="2"/>
    <s v="Labels"/>
    <n v="1024.6199999999999"/>
    <n v="1"/>
    <n v="0"/>
    <n v="128.04"/>
  </r>
  <r>
    <n v="46"/>
    <s v="ORD-2025-00046"/>
    <x v="43"/>
    <d v="2025-07-17T00:00:00"/>
    <s v="Same Day"/>
    <s v="CUST-1016"/>
    <s v="Meera Joshi"/>
    <x v="0"/>
    <s v="United States"/>
    <s v="Springfield"/>
    <x v="1"/>
    <x v="1"/>
    <x v="2"/>
    <s v="Storage"/>
    <n v="620.75"/>
    <n v="7"/>
    <n v="0.05"/>
    <n v="96.65"/>
  </r>
  <r>
    <n v="47"/>
    <s v="ORD-2025-00047"/>
    <x v="44"/>
    <d v="2025-01-15T00:00:00"/>
    <s v="Second Class"/>
    <s v="CUST-1012"/>
    <s v="Meera Joshi"/>
    <x v="0"/>
    <s v="United States"/>
    <s v="San Diego"/>
    <x v="0"/>
    <x v="0"/>
    <x v="2"/>
    <s v="Paper"/>
    <n v="1177.26"/>
    <n v="1"/>
    <n v="0.3"/>
    <n v="-157.91999999999999"/>
  </r>
  <r>
    <n v="48"/>
    <s v="ORD-2025-00048"/>
    <x v="45"/>
    <d v="2025-03-22T00:00:00"/>
    <s v="First Class"/>
    <s v="CUST-1010"/>
    <s v="Kavya Agarwal"/>
    <x v="1"/>
    <s v="United States"/>
    <s v="Austin"/>
    <x v="2"/>
    <x v="1"/>
    <x v="2"/>
    <s v="Envelopes"/>
    <n v="223.61"/>
    <n v="4"/>
    <n v="0.1"/>
    <n v="29.03"/>
  </r>
  <r>
    <n v="49"/>
    <s v="ORD-2025-00049"/>
    <x v="46"/>
    <d v="2025-03-02T00:00:00"/>
    <s v="Same Day"/>
    <s v="CUST-1025"/>
    <s v="Ishita Roy"/>
    <x v="0"/>
    <s v="United States"/>
    <s v="New York City"/>
    <x v="7"/>
    <x v="3"/>
    <x v="1"/>
    <s v="Bookcases"/>
    <n v="1673.42"/>
    <n v="10"/>
    <n v="0.2"/>
    <n v="314.27999999999997"/>
  </r>
  <r>
    <n v="50"/>
    <s v="ORD-2025-00050"/>
    <x v="47"/>
    <d v="2025-11-02T00:00:00"/>
    <s v="Standard Class"/>
    <s v="CUST-1022"/>
    <s v="Aditya Jain"/>
    <x v="2"/>
    <s v="United States"/>
    <s v="Spokane"/>
    <x v="3"/>
    <x v="0"/>
    <x v="0"/>
    <s v="Machines"/>
    <n v="1533.52"/>
    <n v="10"/>
    <n v="0.3"/>
    <n v="-157.38999999999999"/>
  </r>
  <r>
    <n v="51"/>
    <s v="ORD-2025-00051"/>
    <x v="21"/>
    <d v="2025-02-10T00:00:00"/>
    <s v="Same Day"/>
    <s v="CUST-1045"/>
    <s v="Riya Gupta"/>
    <x v="2"/>
    <s v="United States"/>
    <s v="Philadelphia"/>
    <x v="8"/>
    <x v="3"/>
    <x v="1"/>
    <s v="Furnishings"/>
    <n v="1483.75"/>
    <n v="2"/>
    <n v="0.1"/>
    <n v="328.32"/>
  </r>
  <r>
    <n v="52"/>
    <s v="ORD-2025-00052"/>
    <x v="48"/>
    <d v="2025-09-28T00:00:00"/>
    <s v="Second Class"/>
    <s v="CUST-1005"/>
    <s v="Priya Singh"/>
    <x v="2"/>
    <s v="United States"/>
    <s v="Charlotte"/>
    <x v="9"/>
    <x v="2"/>
    <x v="0"/>
    <s v="Copiers"/>
    <n v="847.48"/>
    <n v="10"/>
    <n v="0.05"/>
    <n v="4.5"/>
  </r>
  <r>
    <n v="53"/>
    <s v="ORD-2025-00053"/>
    <x v="49"/>
    <d v="2025-08-31T00:00:00"/>
    <s v="Same Day"/>
    <s v="CUST-1013"/>
    <s v="Neha Kapoor"/>
    <x v="2"/>
    <s v="United States"/>
    <s v="Raleigh"/>
    <x v="9"/>
    <x v="2"/>
    <x v="0"/>
    <s v="Copiers"/>
    <n v="618.79"/>
    <n v="8"/>
    <n v="0.3"/>
    <n v="-19.329999999999998"/>
  </r>
  <r>
    <n v="54"/>
    <s v="ORD-2025-00054"/>
    <x v="50"/>
    <d v="2025-05-29T00:00:00"/>
    <s v="Same Day"/>
    <s v="CUST-1031"/>
    <s v="Aditya Jain"/>
    <x v="0"/>
    <s v="United States"/>
    <s v="Buffalo"/>
    <x v="7"/>
    <x v="3"/>
    <x v="0"/>
    <s v="Phones"/>
    <n v="939.6"/>
    <n v="4"/>
    <n v="0"/>
    <n v="-14.59"/>
  </r>
  <r>
    <n v="55"/>
    <s v="ORD-2025-00055"/>
    <x v="51"/>
    <d v="2025-12-01T00:00:00"/>
    <s v="First Class"/>
    <s v="CUST-1030"/>
    <s v="Aditya Jain"/>
    <x v="1"/>
    <s v="United States"/>
    <s v="Orlando"/>
    <x v="6"/>
    <x v="2"/>
    <x v="1"/>
    <s v="Bookcases"/>
    <n v="543.74"/>
    <n v="7"/>
    <n v="0.2"/>
    <n v="-24.38"/>
  </r>
  <r>
    <n v="56"/>
    <s v="ORD-2025-00056"/>
    <x v="52"/>
    <d v="2025-08-11T00:00:00"/>
    <s v="Second Class"/>
    <s v="CUST-1020"/>
    <s v="Ananya Sharma"/>
    <x v="1"/>
    <s v="United States"/>
    <s v="Philadelphia"/>
    <x v="8"/>
    <x v="3"/>
    <x v="2"/>
    <s v="Envelopes"/>
    <n v="827.67"/>
    <n v="5"/>
    <n v="0.05"/>
    <n v="-22.19"/>
  </r>
  <r>
    <n v="57"/>
    <s v="ORD-2025-00057"/>
    <x v="53"/>
    <d v="2025-04-11T00:00:00"/>
    <s v="Standard Class"/>
    <s v="CUST-1012"/>
    <s v="Priya Singh"/>
    <x v="0"/>
    <s v="United States"/>
    <s v="Orlando"/>
    <x v="6"/>
    <x v="2"/>
    <x v="2"/>
    <s v="Envelopes"/>
    <n v="1069.46"/>
    <n v="9"/>
    <n v="0.15"/>
    <n v="-25.08"/>
  </r>
  <r>
    <n v="58"/>
    <s v="ORD-2025-00058"/>
    <x v="54"/>
    <d v="2025-04-05T00:00:00"/>
    <s v="Second Class"/>
    <s v="CUST-1040"/>
    <s v="Meera Joshi"/>
    <x v="2"/>
    <s v="United States"/>
    <s v="Los Angeles"/>
    <x v="0"/>
    <x v="0"/>
    <x v="0"/>
    <s v="Accessories"/>
    <n v="508.27"/>
    <n v="1"/>
    <n v="0.15"/>
    <n v="-10.29"/>
  </r>
  <r>
    <n v="59"/>
    <s v="ORD-2025-00059"/>
    <x v="55"/>
    <d v="2025-01-12T00:00:00"/>
    <s v="Same Day"/>
    <s v="CUST-1007"/>
    <s v="Meera Joshi"/>
    <x v="0"/>
    <s v="United States"/>
    <s v="Buffalo"/>
    <x v="7"/>
    <x v="3"/>
    <x v="2"/>
    <s v="Art"/>
    <n v="804.03"/>
    <n v="3"/>
    <n v="0"/>
    <n v="-9.35"/>
  </r>
  <r>
    <n v="60"/>
    <s v="ORD-2025-00060"/>
    <x v="56"/>
    <d v="2025-09-10T00:00:00"/>
    <s v="Second Class"/>
    <s v="CUST-1007"/>
    <s v="Aditya Jain"/>
    <x v="2"/>
    <s v="United States"/>
    <s v="Charlotte"/>
    <x v="9"/>
    <x v="2"/>
    <x v="0"/>
    <s v="Phones"/>
    <n v="290.07"/>
    <n v="10"/>
    <n v="0.05"/>
    <n v="-22.53"/>
  </r>
  <r>
    <n v="61"/>
    <s v="ORD-2025-00061"/>
    <x v="48"/>
    <d v="2025-09-29T00:00:00"/>
    <s v="Standard Class"/>
    <s v="CUST-1039"/>
    <s v="Ishita Roy"/>
    <x v="0"/>
    <s v="United States"/>
    <s v="Miami"/>
    <x v="6"/>
    <x v="2"/>
    <x v="2"/>
    <s v="Storage"/>
    <n v="1551.1"/>
    <n v="7"/>
    <n v="0.05"/>
    <n v="141.96"/>
  </r>
  <r>
    <n v="62"/>
    <s v="ORD-2025-00062"/>
    <x v="57"/>
    <d v="2025-11-19T00:00:00"/>
    <s v="Standard Class"/>
    <s v="CUST-1026"/>
    <s v="Simran Kaur"/>
    <x v="1"/>
    <s v="United States"/>
    <s v="Buffalo"/>
    <x v="7"/>
    <x v="3"/>
    <x v="0"/>
    <s v="Phones"/>
    <n v="299.56"/>
    <n v="3"/>
    <n v="0.15"/>
    <n v="-28.83"/>
  </r>
  <r>
    <n v="63"/>
    <s v="ORD-2025-00063"/>
    <x v="58"/>
    <d v="2025-05-31T00:00:00"/>
    <s v="First Class"/>
    <s v="CUST-1050"/>
    <s v="Vansh Kumar"/>
    <x v="1"/>
    <s v="United States"/>
    <s v="Chicago"/>
    <x v="1"/>
    <x v="1"/>
    <x v="2"/>
    <s v="Envelopes"/>
    <n v="523.24"/>
    <n v="8"/>
    <n v="0"/>
    <n v="73.56"/>
  </r>
  <r>
    <n v="64"/>
    <s v="ORD-2025-00064"/>
    <x v="52"/>
    <d v="2025-08-07T00:00:00"/>
    <s v="First Class"/>
    <s v="CUST-1038"/>
    <s v="Ishita Roy"/>
    <x v="1"/>
    <s v="United States"/>
    <s v="Savannah"/>
    <x v="4"/>
    <x v="2"/>
    <x v="1"/>
    <s v="Chairs"/>
    <n v="1636.97"/>
    <n v="3"/>
    <n v="0"/>
    <n v="-129.53"/>
  </r>
  <r>
    <n v="65"/>
    <s v="ORD-2025-00065"/>
    <x v="59"/>
    <d v="2025-08-14T00:00:00"/>
    <s v="Same Day"/>
    <s v="CUST-1005"/>
    <s v="Kavya Agarwal"/>
    <x v="0"/>
    <s v="United States"/>
    <s v="Orlando"/>
    <x v="6"/>
    <x v="2"/>
    <x v="0"/>
    <s v="Machines"/>
    <n v="1265.53"/>
    <n v="5"/>
    <n v="0.15"/>
    <n v="84.15"/>
  </r>
  <r>
    <n v="66"/>
    <s v="ORD-2025-00066"/>
    <x v="60"/>
    <d v="2025-06-20T00:00:00"/>
    <s v="First Class"/>
    <s v="CUST-1036"/>
    <s v="Aarav Mehta"/>
    <x v="0"/>
    <s v="United States"/>
    <s v="Buffalo"/>
    <x v="7"/>
    <x v="3"/>
    <x v="1"/>
    <s v="Bookcases"/>
    <n v="427.49"/>
    <n v="10"/>
    <n v="0.15"/>
    <n v="89.89"/>
  </r>
  <r>
    <n v="67"/>
    <s v="ORD-2025-00067"/>
    <x v="61"/>
    <d v="2025-09-27T00:00:00"/>
    <s v="Same Day"/>
    <s v="CUST-1021"/>
    <s v="Neha Kapoor"/>
    <x v="1"/>
    <s v="United States"/>
    <s v="New York City"/>
    <x v="7"/>
    <x v="3"/>
    <x v="1"/>
    <s v="Furnishings"/>
    <n v="1149.92"/>
    <n v="8"/>
    <n v="0"/>
    <n v="74.17"/>
  </r>
  <r>
    <n v="68"/>
    <s v="ORD-2025-00068"/>
    <x v="62"/>
    <d v="2025-03-27T00:00:00"/>
    <s v="Standard Class"/>
    <s v="CUST-1029"/>
    <s v="Ananya Sharma"/>
    <x v="2"/>
    <s v="United States"/>
    <s v="Cleveland"/>
    <x v="5"/>
    <x v="3"/>
    <x v="0"/>
    <s v="Copiers"/>
    <n v="533.03"/>
    <n v="7"/>
    <n v="0.3"/>
    <n v="64.59"/>
  </r>
  <r>
    <n v="69"/>
    <s v="ORD-2025-00069"/>
    <x v="60"/>
    <d v="2025-06-16T00:00:00"/>
    <s v="Second Class"/>
    <s v="CUST-1033"/>
    <s v="Neha Kapoor"/>
    <x v="1"/>
    <s v="United States"/>
    <s v="Cleveland"/>
    <x v="5"/>
    <x v="3"/>
    <x v="0"/>
    <s v="Phones"/>
    <n v="1190.6400000000001"/>
    <n v="9"/>
    <n v="0.1"/>
    <n v="35.29"/>
  </r>
  <r>
    <n v="70"/>
    <s v="ORD-2025-00070"/>
    <x v="57"/>
    <d v="2025-11-21T00:00:00"/>
    <s v="Same Day"/>
    <s v="CUST-1007"/>
    <s v="Aarav Mehta"/>
    <x v="1"/>
    <s v="United States"/>
    <s v="San Diego"/>
    <x v="0"/>
    <x v="0"/>
    <x v="1"/>
    <s v="Tables"/>
    <n v="997.61"/>
    <n v="5"/>
    <n v="0.1"/>
    <n v="192.83"/>
  </r>
  <r>
    <n v="71"/>
    <s v="ORD-2025-00071"/>
    <x v="63"/>
    <d v="2025-05-05T00:00:00"/>
    <s v="Standard Class"/>
    <s v="CUST-1029"/>
    <s v="Ananya Sharma"/>
    <x v="1"/>
    <s v="United States"/>
    <s v="New York City"/>
    <x v="7"/>
    <x v="3"/>
    <x v="0"/>
    <s v="Phones"/>
    <n v="1003.01"/>
    <n v="2"/>
    <n v="0"/>
    <n v="248.03"/>
  </r>
  <r>
    <n v="72"/>
    <s v="ORD-2025-00072"/>
    <x v="64"/>
    <d v="2025-09-16T00:00:00"/>
    <s v="Second Class"/>
    <s v="CUST-1024"/>
    <s v="Rahul Verma"/>
    <x v="1"/>
    <s v="United States"/>
    <s v="Atlanta"/>
    <x v="4"/>
    <x v="2"/>
    <x v="0"/>
    <s v="Machines"/>
    <n v="759.57"/>
    <n v="8"/>
    <n v="0.1"/>
    <n v="-22.55"/>
  </r>
  <r>
    <n v="73"/>
    <s v="ORD-2025-00073"/>
    <x v="21"/>
    <d v="2025-02-08T00:00:00"/>
    <s v="Same Day"/>
    <s v="CUST-1009"/>
    <s v="Simran Kaur"/>
    <x v="1"/>
    <s v="United States"/>
    <s v="Cleveland"/>
    <x v="5"/>
    <x v="3"/>
    <x v="2"/>
    <s v="Labels"/>
    <n v="495.57"/>
    <n v="1"/>
    <n v="0.05"/>
    <n v="72.66"/>
  </r>
  <r>
    <n v="74"/>
    <s v="ORD-2025-00074"/>
    <x v="65"/>
    <d v="2025-06-29T00:00:00"/>
    <s v="Second Class"/>
    <s v="CUST-1036"/>
    <s v="Arjun Malhotra"/>
    <x v="0"/>
    <s v="United States"/>
    <s v="Savannah"/>
    <x v="4"/>
    <x v="2"/>
    <x v="0"/>
    <s v="Copiers"/>
    <n v="830.51"/>
    <n v="6"/>
    <n v="0.3"/>
    <n v="-65.59"/>
  </r>
  <r>
    <n v="75"/>
    <s v="ORD-2025-00075"/>
    <x v="26"/>
    <d v="2025-01-26T00:00:00"/>
    <s v="Second Class"/>
    <s v="CUST-1032"/>
    <s v="Kavya Agarwal"/>
    <x v="2"/>
    <s v="United States"/>
    <s v="Miami"/>
    <x v="6"/>
    <x v="2"/>
    <x v="0"/>
    <s v="Copiers"/>
    <n v="707.22"/>
    <n v="3"/>
    <n v="0.1"/>
    <n v="157.49"/>
  </r>
  <r>
    <n v="76"/>
    <s v="ORD-2025-00076"/>
    <x v="66"/>
    <d v="2025-08-15T00:00:00"/>
    <s v="Second Class"/>
    <s v="CUST-1004"/>
    <s v="Simran Kaur"/>
    <x v="2"/>
    <s v="United States"/>
    <s v="Savannah"/>
    <x v="4"/>
    <x v="2"/>
    <x v="2"/>
    <s v="Binders"/>
    <n v="1305.95"/>
    <n v="7"/>
    <n v="0.3"/>
    <n v="109.93"/>
  </r>
  <r>
    <n v="77"/>
    <s v="ORD-2025-00077"/>
    <x v="33"/>
    <d v="2025-11-20T00:00:00"/>
    <s v="Same Day"/>
    <s v="CUST-1034"/>
    <s v="Aarav Mehta"/>
    <x v="1"/>
    <s v="United States"/>
    <s v="Seattle"/>
    <x v="3"/>
    <x v="0"/>
    <x v="2"/>
    <s v="Envelopes"/>
    <n v="1549.63"/>
    <n v="7"/>
    <n v="0.05"/>
    <n v="173.37"/>
  </r>
  <r>
    <n v="78"/>
    <s v="ORD-2025-00078"/>
    <x v="67"/>
    <d v="2025-05-04T00:00:00"/>
    <s v="Standard Class"/>
    <s v="CUST-1028"/>
    <s v="Riya Gupta"/>
    <x v="1"/>
    <s v="United States"/>
    <s v="Springfield"/>
    <x v="1"/>
    <x v="1"/>
    <x v="0"/>
    <s v="Phones"/>
    <n v="792.47"/>
    <n v="2"/>
    <n v="0.3"/>
    <n v="60.87"/>
  </r>
  <r>
    <n v="79"/>
    <s v="ORD-2025-00079"/>
    <x v="31"/>
    <d v="2025-01-16T00:00:00"/>
    <s v="Same Day"/>
    <s v="CUST-1036"/>
    <s v="Rohan Bansal"/>
    <x v="0"/>
    <s v="United States"/>
    <s v="Philadelphia"/>
    <x v="8"/>
    <x v="3"/>
    <x v="1"/>
    <s v="Tables"/>
    <n v="658.06"/>
    <n v="7"/>
    <n v="0"/>
    <n v="-9.56"/>
  </r>
  <r>
    <n v="80"/>
    <s v="ORD-2025-00080"/>
    <x v="68"/>
    <d v="2025-04-01T00:00:00"/>
    <s v="Same Day"/>
    <s v="CUST-1040"/>
    <s v="Priya Singh"/>
    <x v="2"/>
    <s v="United States"/>
    <s v="Raleigh"/>
    <x v="9"/>
    <x v="2"/>
    <x v="2"/>
    <s v="Labels"/>
    <n v="1235.98"/>
    <n v="8"/>
    <n v="0.15"/>
    <n v="-89.5"/>
  </r>
  <r>
    <n v="81"/>
    <s v="ORD-2025-00081"/>
    <x v="28"/>
    <d v="2025-12-09T00:00:00"/>
    <s v="First Class"/>
    <s v="CUST-1040"/>
    <s v="Arjun Malhotra"/>
    <x v="1"/>
    <s v="United States"/>
    <s v="Orlando"/>
    <x v="6"/>
    <x v="2"/>
    <x v="2"/>
    <s v="Envelopes"/>
    <n v="992.94"/>
    <n v="2"/>
    <n v="0.1"/>
    <n v="214.31"/>
  </r>
  <r>
    <n v="82"/>
    <s v="ORD-2025-00082"/>
    <x v="69"/>
    <d v="2025-08-25T00:00:00"/>
    <s v="First Class"/>
    <s v="CUST-1044"/>
    <s v="Priya Singh"/>
    <x v="0"/>
    <s v="United States"/>
    <s v="Springfield"/>
    <x v="1"/>
    <x v="1"/>
    <x v="2"/>
    <s v="Art"/>
    <n v="209.84"/>
    <n v="7"/>
    <n v="0.15"/>
    <n v="0.66"/>
  </r>
  <r>
    <n v="83"/>
    <s v="ORD-2025-00083"/>
    <x v="70"/>
    <d v="2025-05-22T00:00:00"/>
    <s v="First Class"/>
    <s v="CUST-1049"/>
    <s v="Vansh Kumar"/>
    <x v="0"/>
    <s v="United States"/>
    <s v="Raleigh"/>
    <x v="9"/>
    <x v="2"/>
    <x v="0"/>
    <s v="Phones"/>
    <n v="1640.9"/>
    <n v="8"/>
    <n v="0.3"/>
    <n v="281.33999999999997"/>
  </r>
  <r>
    <n v="84"/>
    <s v="ORD-2025-00084"/>
    <x v="71"/>
    <d v="2025-04-25T00:00:00"/>
    <s v="Standard Class"/>
    <s v="CUST-1019"/>
    <s v="Vansh Kumar"/>
    <x v="2"/>
    <s v="United States"/>
    <s v="Charlotte"/>
    <x v="9"/>
    <x v="2"/>
    <x v="2"/>
    <s v="Envelopes"/>
    <n v="1364.93"/>
    <n v="3"/>
    <n v="0.2"/>
    <n v="-131.02000000000001"/>
  </r>
  <r>
    <n v="85"/>
    <s v="ORD-2025-00085"/>
    <x v="20"/>
    <d v="2025-10-27T00:00:00"/>
    <s v="First Class"/>
    <s v="CUST-1033"/>
    <s v="Aditya Jain"/>
    <x v="2"/>
    <s v="United States"/>
    <s v="Houston"/>
    <x v="2"/>
    <x v="1"/>
    <x v="1"/>
    <s v="Tables"/>
    <n v="601.55999999999995"/>
    <n v="7"/>
    <n v="0"/>
    <n v="-17.88"/>
  </r>
  <r>
    <n v="86"/>
    <s v="ORD-2025-00086"/>
    <x v="72"/>
    <d v="2025-05-16T00:00:00"/>
    <s v="Second Class"/>
    <s v="CUST-1043"/>
    <s v="Ishita Roy"/>
    <x v="1"/>
    <s v="United States"/>
    <s v="Buffalo"/>
    <x v="7"/>
    <x v="3"/>
    <x v="0"/>
    <s v="Machines"/>
    <n v="1451.53"/>
    <n v="8"/>
    <n v="0"/>
    <n v="-73.64"/>
  </r>
  <r>
    <n v="87"/>
    <s v="ORD-2025-00087"/>
    <x v="73"/>
    <d v="2025-10-16T00:00:00"/>
    <s v="First Class"/>
    <s v="CUST-1037"/>
    <s v="Arjun Malhotra"/>
    <x v="1"/>
    <s v="United States"/>
    <s v="Spokane"/>
    <x v="3"/>
    <x v="0"/>
    <x v="2"/>
    <s v="Binders"/>
    <n v="490.74"/>
    <n v="2"/>
    <n v="0.1"/>
    <n v="6.87"/>
  </r>
  <r>
    <n v="88"/>
    <s v="ORD-2025-00088"/>
    <x v="17"/>
    <d v="2025-02-27T00:00:00"/>
    <s v="Same Day"/>
    <s v="CUST-1044"/>
    <s v="Priya Singh"/>
    <x v="1"/>
    <s v="United States"/>
    <s v="Orlando"/>
    <x v="6"/>
    <x v="2"/>
    <x v="1"/>
    <s v="Tables"/>
    <n v="1649.16"/>
    <n v="4"/>
    <n v="0.2"/>
    <n v="-177.9"/>
  </r>
  <r>
    <n v="89"/>
    <s v="ORD-2025-00089"/>
    <x v="74"/>
    <d v="2025-03-03T00:00:00"/>
    <s v="Second Class"/>
    <s v="CUST-1024"/>
    <s v="Simran Kaur"/>
    <x v="2"/>
    <s v="United States"/>
    <s v="San Diego"/>
    <x v="0"/>
    <x v="0"/>
    <x v="1"/>
    <s v="Tables"/>
    <n v="1792.75"/>
    <n v="2"/>
    <n v="0"/>
    <n v="-31.95"/>
  </r>
  <r>
    <n v="90"/>
    <s v="ORD-2025-00090"/>
    <x v="36"/>
    <d v="2025-12-28T00:00:00"/>
    <s v="Same Day"/>
    <s v="CUST-1017"/>
    <s v="Aarav Mehta"/>
    <x v="1"/>
    <s v="United States"/>
    <s v="Cleveland"/>
    <x v="5"/>
    <x v="3"/>
    <x v="0"/>
    <s v="Accessories"/>
    <n v="1596.04"/>
    <n v="2"/>
    <n v="0.3"/>
    <n v="41.93"/>
  </r>
  <r>
    <n v="91"/>
    <s v="ORD-2025-00091"/>
    <x v="75"/>
    <d v="2025-04-26T00:00:00"/>
    <s v="First Class"/>
    <s v="CUST-1003"/>
    <s v="Arjun Malhotra"/>
    <x v="2"/>
    <s v="United States"/>
    <s v="Miami"/>
    <x v="6"/>
    <x v="2"/>
    <x v="1"/>
    <s v="Tables"/>
    <n v="196.85"/>
    <n v="6"/>
    <n v="0.15"/>
    <n v="38.01"/>
  </r>
  <r>
    <n v="92"/>
    <s v="ORD-2025-00092"/>
    <x v="76"/>
    <d v="2025-03-08T00:00:00"/>
    <s v="First Class"/>
    <s v="CUST-1015"/>
    <s v="Riya Gupta"/>
    <x v="1"/>
    <s v="United States"/>
    <s v="Seattle"/>
    <x v="3"/>
    <x v="0"/>
    <x v="0"/>
    <s v="Accessories"/>
    <n v="1162.23"/>
    <n v="10"/>
    <n v="0"/>
    <n v="-95.65"/>
  </r>
  <r>
    <n v="93"/>
    <s v="ORD-2025-00093"/>
    <x v="21"/>
    <d v="2025-02-10T00:00:00"/>
    <s v="Standard Class"/>
    <s v="CUST-1017"/>
    <s v="Meera Joshi"/>
    <x v="0"/>
    <s v="United States"/>
    <s v="Chicago"/>
    <x v="1"/>
    <x v="1"/>
    <x v="0"/>
    <s v="Accessories"/>
    <n v="1467.23"/>
    <n v="4"/>
    <n v="0.05"/>
    <n v="239.93"/>
  </r>
  <r>
    <n v="94"/>
    <s v="ORD-2025-00094"/>
    <x v="77"/>
    <d v="2025-10-07T00:00:00"/>
    <s v="First Class"/>
    <s v="CUST-1001"/>
    <s v="Riya Gupta"/>
    <x v="2"/>
    <s v="United States"/>
    <s v="Houston"/>
    <x v="2"/>
    <x v="1"/>
    <x v="1"/>
    <s v="Bookcases"/>
    <n v="254.61"/>
    <n v="6"/>
    <n v="0.3"/>
    <n v="33.340000000000003"/>
  </r>
  <r>
    <n v="95"/>
    <s v="ORD-2025-00095"/>
    <x v="78"/>
    <d v="2025-03-10T00:00:00"/>
    <s v="Same Day"/>
    <s v="CUST-1032"/>
    <s v="Rahul Verma"/>
    <x v="1"/>
    <s v="United States"/>
    <s v="Atlanta"/>
    <x v="4"/>
    <x v="2"/>
    <x v="1"/>
    <s v="Bookcases"/>
    <n v="867.72"/>
    <n v="6"/>
    <n v="0.15"/>
    <n v="74"/>
  </r>
  <r>
    <n v="96"/>
    <s v="ORD-2025-00096"/>
    <x v="16"/>
    <d v="2025-12-09T00:00:00"/>
    <s v="Same Day"/>
    <s v="CUST-1043"/>
    <s v="Ananya Sharma"/>
    <x v="2"/>
    <s v="United States"/>
    <s v="Buffalo"/>
    <x v="7"/>
    <x v="3"/>
    <x v="2"/>
    <s v="Envelopes"/>
    <n v="1735.97"/>
    <n v="1"/>
    <n v="0.1"/>
    <n v="315.17"/>
  </r>
  <r>
    <n v="97"/>
    <s v="ORD-2025-00097"/>
    <x v="23"/>
    <d v="2025-02-08T00:00:00"/>
    <s v="First Class"/>
    <s v="CUST-1024"/>
    <s v="Kavya Agarwal"/>
    <x v="1"/>
    <s v="United States"/>
    <s v="Pittsburgh"/>
    <x v="8"/>
    <x v="3"/>
    <x v="0"/>
    <s v="Accessories"/>
    <n v="136.91"/>
    <n v="5"/>
    <n v="0.15"/>
    <n v="13.56"/>
  </r>
  <r>
    <n v="98"/>
    <s v="ORD-2025-00098"/>
    <x v="79"/>
    <d v="2025-08-26T00:00:00"/>
    <s v="Second Class"/>
    <s v="CUST-1027"/>
    <s v="Simran Kaur"/>
    <x v="0"/>
    <s v="United States"/>
    <s v="Raleigh"/>
    <x v="9"/>
    <x v="2"/>
    <x v="2"/>
    <s v="Binders"/>
    <n v="1431.71"/>
    <n v="2"/>
    <n v="0.3"/>
    <n v="120.48"/>
  </r>
  <r>
    <n v="99"/>
    <s v="ORD-2025-00099"/>
    <x v="80"/>
    <d v="2025-06-27T00:00:00"/>
    <s v="First Class"/>
    <s v="CUST-1009"/>
    <s v="Rohan Bansal"/>
    <x v="2"/>
    <s v="United States"/>
    <s v="Columbus"/>
    <x v="5"/>
    <x v="3"/>
    <x v="2"/>
    <s v="Envelopes"/>
    <n v="189.25"/>
    <n v="7"/>
    <n v="0.05"/>
    <n v="23.71"/>
  </r>
  <r>
    <n v="100"/>
    <s v="ORD-2025-00100"/>
    <x v="81"/>
    <d v="2025-02-17T00:00:00"/>
    <s v="Standard Class"/>
    <s v="CUST-1037"/>
    <s v="Aditya Jain"/>
    <x v="1"/>
    <s v="United States"/>
    <s v="Spokane"/>
    <x v="3"/>
    <x v="0"/>
    <x v="2"/>
    <s v="Binders"/>
    <n v="1345.37"/>
    <n v="6"/>
    <n v="0.3"/>
    <n v="-133.81"/>
  </r>
  <r>
    <n v="101"/>
    <s v="ORD-2025-00101"/>
    <x v="82"/>
    <d v="2025-12-11T00:00:00"/>
    <s v="Standard Class"/>
    <s v="CUST-1018"/>
    <s v="Kavya Agarwal"/>
    <x v="2"/>
    <s v="United States"/>
    <s v="Cleveland"/>
    <x v="5"/>
    <x v="3"/>
    <x v="2"/>
    <s v="Envelopes"/>
    <n v="1695.21"/>
    <n v="7"/>
    <n v="0.3"/>
    <n v="297.58999999999997"/>
  </r>
  <r>
    <n v="102"/>
    <s v="ORD-2025-00102"/>
    <x v="83"/>
    <d v="2025-02-28T00:00:00"/>
    <s v="First Class"/>
    <s v="CUST-1007"/>
    <s v="Vansh Kumar"/>
    <x v="2"/>
    <s v="United States"/>
    <s v="Atlanta"/>
    <x v="4"/>
    <x v="2"/>
    <x v="1"/>
    <s v="Chairs"/>
    <n v="1188.99"/>
    <n v="4"/>
    <n v="0.3"/>
    <n v="-127.37"/>
  </r>
  <r>
    <n v="103"/>
    <s v="ORD-2025-00103"/>
    <x v="84"/>
    <d v="2025-08-13T00:00:00"/>
    <s v="First Class"/>
    <s v="CUST-1021"/>
    <s v="Neha Kapoor"/>
    <x v="0"/>
    <s v="United States"/>
    <s v="Charlotte"/>
    <x v="9"/>
    <x v="2"/>
    <x v="0"/>
    <s v="Phones"/>
    <n v="1104.01"/>
    <n v="5"/>
    <n v="0"/>
    <n v="-40.69"/>
  </r>
  <r>
    <n v="104"/>
    <s v="ORD-2025-00104"/>
    <x v="7"/>
    <d v="2025-03-20T00:00:00"/>
    <s v="Second Class"/>
    <s v="CUST-1024"/>
    <s v="Arjun Malhotra"/>
    <x v="2"/>
    <s v="United States"/>
    <s v="Cleveland"/>
    <x v="5"/>
    <x v="3"/>
    <x v="1"/>
    <s v="Chairs"/>
    <n v="1338.92"/>
    <n v="1"/>
    <n v="0"/>
    <n v="215.75"/>
  </r>
  <r>
    <n v="105"/>
    <s v="ORD-2025-00105"/>
    <x v="85"/>
    <d v="2025-03-25T00:00:00"/>
    <s v="Standard Class"/>
    <s v="CUST-1009"/>
    <s v="Riya Gupta"/>
    <x v="1"/>
    <s v="United States"/>
    <s v="New York City"/>
    <x v="7"/>
    <x v="3"/>
    <x v="0"/>
    <s v="Machines"/>
    <n v="1402.77"/>
    <n v="10"/>
    <n v="0.15"/>
    <n v="-130.13"/>
  </r>
  <r>
    <n v="106"/>
    <s v="ORD-2025-00106"/>
    <x v="86"/>
    <d v="2025-12-13T00:00:00"/>
    <s v="Second Class"/>
    <s v="CUST-1048"/>
    <s v="Aditya Jain"/>
    <x v="0"/>
    <s v="United States"/>
    <s v="Buffalo"/>
    <x v="7"/>
    <x v="3"/>
    <x v="2"/>
    <s v="Envelopes"/>
    <n v="774.75"/>
    <n v="10"/>
    <n v="0.1"/>
    <n v="23.21"/>
  </r>
  <r>
    <n v="107"/>
    <s v="ORD-2025-00107"/>
    <x v="87"/>
    <d v="2025-08-10T00:00:00"/>
    <s v="Standard Class"/>
    <s v="CUST-1000"/>
    <s v="Rahul Verma"/>
    <x v="2"/>
    <s v="United States"/>
    <s v="New York City"/>
    <x v="7"/>
    <x v="3"/>
    <x v="0"/>
    <s v="Copiers"/>
    <n v="957.94"/>
    <n v="5"/>
    <n v="0"/>
    <n v="-21.86"/>
  </r>
  <r>
    <n v="108"/>
    <s v="ORD-2025-00108"/>
    <x v="88"/>
    <d v="2025-03-15T00:00:00"/>
    <s v="Second Class"/>
    <s v="CUST-1032"/>
    <s v="Aditya Jain"/>
    <x v="1"/>
    <s v="United States"/>
    <s v="Buffalo"/>
    <x v="7"/>
    <x v="3"/>
    <x v="2"/>
    <s v="Binders"/>
    <n v="33.76"/>
    <n v="7"/>
    <n v="0"/>
    <n v="-1.85"/>
  </r>
  <r>
    <n v="109"/>
    <s v="ORD-2025-00109"/>
    <x v="89"/>
    <d v="2025-02-10T00:00:00"/>
    <s v="Same Day"/>
    <s v="CUST-1036"/>
    <s v="Arjun Malhotra"/>
    <x v="1"/>
    <s v="United States"/>
    <s v="San Diego"/>
    <x v="0"/>
    <x v="0"/>
    <x v="2"/>
    <s v="Binders"/>
    <n v="838.36"/>
    <n v="2"/>
    <n v="0.3"/>
    <n v="-29.7"/>
  </r>
  <r>
    <n v="110"/>
    <s v="ORD-2025-00110"/>
    <x v="90"/>
    <d v="2025-08-05T00:00:00"/>
    <s v="Same Day"/>
    <s v="CUST-1044"/>
    <s v="Dev Patel"/>
    <x v="2"/>
    <s v="United States"/>
    <s v="Seattle"/>
    <x v="3"/>
    <x v="0"/>
    <x v="2"/>
    <s v="Binders"/>
    <n v="1739.84"/>
    <n v="3"/>
    <n v="0.3"/>
    <n v="324.77"/>
  </r>
  <r>
    <n v="111"/>
    <s v="ORD-2025-00111"/>
    <x v="91"/>
    <d v="2025-08-13T00:00:00"/>
    <s v="First Class"/>
    <s v="CUST-1014"/>
    <s v="Neha Kapoor"/>
    <x v="0"/>
    <s v="United States"/>
    <s v="Chicago"/>
    <x v="1"/>
    <x v="1"/>
    <x v="2"/>
    <s v="Labels"/>
    <n v="732.8"/>
    <n v="2"/>
    <n v="0.1"/>
    <n v="139"/>
  </r>
  <r>
    <n v="112"/>
    <s v="ORD-2025-00112"/>
    <x v="92"/>
    <d v="2025-09-20T00:00:00"/>
    <s v="Second Class"/>
    <s v="CUST-1015"/>
    <s v="Ananya Sharma"/>
    <x v="0"/>
    <s v="United States"/>
    <s v="Savannah"/>
    <x v="4"/>
    <x v="2"/>
    <x v="0"/>
    <s v="Accessories"/>
    <n v="1632.54"/>
    <n v="6"/>
    <n v="0.05"/>
    <n v="240.12"/>
  </r>
  <r>
    <n v="113"/>
    <s v="ORD-2025-00113"/>
    <x v="93"/>
    <d v="2025-04-14T00:00:00"/>
    <s v="Same Day"/>
    <s v="CUST-1043"/>
    <s v="Dev Patel"/>
    <x v="1"/>
    <s v="United States"/>
    <s v="Raleigh"/>
    <x v="9"/>
    <x v="2"/>
    <x v="1"/>
    <s v="Bookcases"/>
    <n v="335.32"/>
    <n v="8"/>
    <n v="0.1"/>
    <n v="49.98"/>
  </r>
  <r>
    <n v="114"/>
    <s v="ORD-2025-00114"/>
    <x v="94"/>
    <d v="2025-11-21T00:00:00"/>
    <s v="Standard Class"/>
    <s v="CUST-1022"/>
    <s v="Aditya Jain"/>
    <x v="0"/>
    <s v="United States"/>
    <s v="Dallas"/>
    <x v="2"/>
    <x v="1"/>
    <x v="2"/>
    <s v="Binders"/>
    <n v="854.68"/>
    <n v="5"/>
    <n v="0.3"/>
    <n v="-41.76"/>
  </r>
  <r>
    <n v="115"/>
    <s v="ORD-2025-00115"/>
    <x v="95"/>
    <d v="2025-08-29T00:00:00"/>
    <s v="Standard Class"/>
    <s v="CUST-1039"/>
    <s v="Kavya Agarwal"/>
    <x v="1"/>
    <s v="United States"/>
    <s v="San Francisco"/>
    <x v="0"/>
    <x v="0"/>
    <x v="1"/>
    <s v="Tables"/>
    <n v="1500.42"/>
    <n v="2"/>
    <n v="0.2"/>
    <n v="258.8"/>
  </r>
  <r>
    <n v="116"/>
    <s v="ORD-2025-00116"/>
    <x v="95"/>
    <d v="2025-08-30T00:00:00"/>
    <s v="Same Day"/>
    <s v="CUST-1032"/>
    <s v="Riya Gupta"/>
    <x v="0"/>
    <s v="United States"/>
    <s v="Savannah"/>
    <x v="4"/>
    <x v="2"/>
    <x v="0"/>
    <s v="Phones"/>
    <n v="820.53"/>
    <n v="10"/>
    <n v="0.2"/>
    <n v="-52.61"/>
  </r>
  <r>
    <n v="117"/>
    <s v="ORD-2025-00117"/>
    <x v="96"/>
    <d v="2025-02-25T00:00:00"/>
    <s v="Second Class"/>
    <s v="CUST-1023"/>
    <s v="Neha Kapoor"/>
    <x v="2"/>
    <s v="United States"/>
    <s v="Spokane"/>
    <x v="3"/>
    <x v="0"/>
    <x v="0"/>
    <s v="Accessories"/>
    <n v="89.67"/>
    <n v="8"/>
    <n v="0.1"/>
    <n v="6.14"/>
  </r>
  <r>
    <n v="118"/>
    <s v="ORD-2025-00118"/>
    <x v="97"/>
    <d v="2025-08-01T00:00:00"/>
    <s v="First Class"/>
    <s v="CUST-1016"/>
    <s v="Ishita Roy"/>
    <x v="1"/>
    <s v="United States"/>
    <s v="Charlotte"/>
    <x v="9"/>
    <x v="2"/>
    <x v="1"/>
    <s v="Tables"/>
    <n v="137.32"/>
    <n v="2"/>
    <n v="0.15"/>
    <n v="15.78"/>
  </r>
  <r>
    <n v="119"/>
    <s v="ORD-2025-00119"/>
    <x v="98"/>
    <d v="2025-06-21T00:00:00"/>
    <s v="Same Day"/>
    <s v="CUST-1008"/>
    <s v="Kavya Agarwal"/>
    <x v="1"/>
    <s v="United States"/>
    <s v="Charlotte"/>
    <x v="9"/>
    <x v="2"/>
    <x v="0"/>
    <s v="Accessories"/>
    <n v="1651.81"/>
    <n v="5"/>
    <n v="0.2"/>
    <n v="189.08"/>
  </r>
  <r>
    <n v="120"/>
    <s v="ORD-2025-00120"/>
    <x v="99"/>
    <d v="2025-06-13T00:00:00"/>
    <s v="Same Day"/>
    <s v="CUST-1032"/>
    <s v="Neha Kapoor"/>
    <x v="0"/>
    <s v="United States"/>
    <s v="Cleveland"/>
    <x v="5"/>
    <x v="3"/>
    <x v="0"/>
    <s v="Machines"/>
    <n v="1467.47"/>
    <n v="9"/>
    <n v="0"/>
    <n v="185.06"/>
  </r>
  <r>
    <n v="121"/>
    <s v="ORD-2025-00121"/>
    <x v="99"/>
    <d v="2025-06-10T00:00:00"/>
    <s v="Standard Class"/>
    <s v="CUST-1032"/>
    <s v="Vansh Kumar"/>
    <x v="1"/>
    <s v="United States"/>
    <s v="Chicago"/>
    <x v="1"/>
    <x v="1"/>
    <x v="2"/>
    <s v="Art"/>
    <n v="361.77"/>
    <n v="3"/>
    <n v="0"/>
    <n v="-26.41"/>
  </r>
  <r>
    <n v="122"/>
    <s v="ORD-2025-00122"/>
    <x v="100"/>
    <d v="2025-12-08T00:00:00"/>
    <s v="Second Class"/>
    <s v="CUST-1046"/>
    <s v="Simran Kaur"/>
    <x v="0"/>
    <s v="United States"/>
    <s v="Raleigh"/>
    <x v="9"/>
    <x v="2"/>
    <x v="1"/>
    <s v="Furnishings"/>
    <n v="294.57"/>
    <n v="3"/>
    <n v="0.3"/>
    <n v="28.72"/>
  </r>
  <r>
    <n v="123"/>
    <s v="ORD-2025-00123"/>
    <x v="101"/>
    <d v="2025-07-08T00:00:00"/>
    <s v="First Class"/>
    <s v="CUST-1050"/>
    <s v="Simran Kaur"/>
    <x v="0"/>
    <s v="United States"/>
    <s v="Orlando"/>
    <x v="6"/>
    <x v="2"/>
    <x v="0"/>
    <s v="Machines"/>
    <n v="1359.26"/>
    <n v="8"/>
    <n v="0"/>
    <n v="118.12"/>
  </r>
  <r>
    <n v="124"/>
    <s v="ORD-2025-00124"/>
    <x v="102"/>
    <d v="2025-12-19T00:00:00"/>
    <s v="Second Class"/>
    <s v="CUST-1012"/>
    <s v="Vansh Kumar"/>
    <x v="1"/>
    <s v="United States"/>
    <s v="Miami"/>
    <x v="6"/>
    <x v="2"/>
    <x v="2"/>
    <s v="Storage"/>
    <n v="1405.06"/>
    <n v="9"/>
    <n v="0.15"/>
    <n v="33.770000000000003"/>
  </r>
  <r>
    <n v="125"/>
    <s v="ORD-2025-00125"/>
    <x v="103"/>
    <d v="2025-05-10T00:00:00"/>
    <s v="Standard Class"/>
    <s v="CUST-1048"/>
    <s v="Riya Gupta"/>
    <x v="2"/>
    <s v="United States"/>
    <s v="Orlando"/>
    <x v="6"/>
    <x v="2"/>
    <x v="2"/>
    <s v="Labels"/>
    <n v="1683.04"/>
    <n v="9"/>
    <n v="0.3"/>
    <n v="-170.6"/>
  </r>
  <r>
    <n v="126"/>
    <s v="ORD-2025-00126"/>
    <x v="104"/>
    <d v="2025-09-22T00:00:00"/>
    <s v="Same Day"/>
    <s v="CUST-1032"/>
    <s v="Neha Kapoor"/>
    <x v="0"/>
    <s v="United States"/>
    <s v="Cleveland"/>
    <x v="5"/>
    <x v="3"/>
    <x v="1"/>
    <s v="Chairs"/>
    <n v="1473.73"/>
    <n v="6"/>
    <n v="0"/>
    <n v="66.63"/>
  </r>
  <r>
    <n v="127"/>
    <s v="ORD-2025-00127"/>
    <x v="105"/>
    <d v="2025-02-14T00:00:00"/>
    <s v="Standard Class"/>
    <s v="CUST-1018"/>
    <s v="Dev Patel"/>
    <x v="2"/>
    <s v="United States"/>
    <s v="Chicago"/>
    <x v="1"/>
    <x v="1"/>
    <x v="1"/>
    <s v="Tables"/>
    <n v="1676.87"/>
    <n v="6"/>
    <n v="0.3"/>
    <n v="-157.43"/>
  </r>
  <r>
    <n v="128"/>
    <s v="ORD-2025-00128"/>
    <x v="106"/>
    <d v="2026-01-01T00:00:00"/>
    <s v="Second Class"/>
    <s v="CUST-1035"/>
    <s v="Ishita Roy"/>
    <x v="1"/>
    <s v="United States"/>
    <s v="Orlando"/>
    <x v="6"/>
    <x v="2"/>
    <x v="0"/>
    <s v="Phones"/>
    <n v="1632.43"/>
    <n v="1"/>
    <n v="0.05"/>
    <n v="-52.27"/>
  </r>
  <r>
    <n v="129"/>
    <s v="ORD-2025-00129"/>
    <x v="107"/>
    <d v="2025-03-01T00:00:00"/>
    <s v="Same Day"/>
    <s v="CUST-1004"/>
    <s v="Ananya Sharma"/>
    <x v="2"/>
    <s v="United States"/>
    <s v="Chicago"/>
    <x v="1"/>
    <x v="1"/>
    <x v="2"/>
    <s v="Binders"/>
    <n v="104.99"/>
    <n v="7"/>
    <n v="0.2"/>
    <n v="15.52"/>
  </r>
  <r>
    <n v="130"/>
    <s v="ORD-2025-00130"/>
    <x v="108"/>
    <d v="2025-11-25T00:00:00"/>
    <s v="Same Day"/>
    <s v="CUST-1011"/>
    <s v="Rohan Bansal"/>
    <x v="1"/>
    <s v="United States"/>
    <s v="Charlotte"/>
    <x v="9"/>
    <x v="2"/>
    <x v="1"/>
    <s v="Chairs"/>
    <n v="538.46"/>
    <n v="1"/>
    <n v="0.15"/>
    <n v="0.53"/>
  </r>
  <r>
    <n v="131"/>
    <s v="ORD-2025-00131"/>
    <x v="109"/>
    <d v="2025-09-29T00:00:00"/>
    <s v="First Class"/>
    <s v="CUST-1016"/>
    <s v="Ishita Roy"/>
    <x v="0"/>
    <s v="United States"/>
    <s v="Spokane"/>
    <x v="3"/>
    <x v="0"/>
    <x v="0"/>
    <s v="Phones"/>
    <n v="715.01"/>
    <n v="8"/>
    <n v="0"/>
    <n v="87.58"/>
  </r>
  <r>
    <n v="132"/>
    <s v="ORD-2025-00132"/>
    <x v="110"/>
    <d v="2025-02-07T00:00:00"/>
    <s v="First Class"/>
    <s v="CUST-1041"/>
    <s v="Riya Gupta"/>
    <x v="1"/>
    <s v="United States"/>
    <s v="Springfield"/>
    <x v="1"/>
    <x v="1"/>
    <x v="0"/>
    <s v="Phones"/>
    <n v="1393.27"/>
    <n v="6"/>
    <n v="0"/>
    <n v="-117.71"/>
  </r>
  <r>
    <n v="133"/>
    <s v="ORD-2025-00133"/>
    <x v="36"/>
    <d v="2025-12-27T00:00:00"/>
    <s v="Standard Class"/>
    <s v="CUST-1050"/>
    <s v="Rahul Verma"/>
    <x v="0"/>
    <s v="United States"/>
    <s v="Dallas"/>
    <x v="2"/>
    <x v="1"/>
    <x v="1"/>
    <s v="Bookcases"/>
    <n v="1294.56"/>
    <n v="8"/>
    <n v="0"/>
    <n v="3.5"/>
  </r>
  <r>
    <n v="134"/>
    <s v="ORD-2025-00134"/>
    <x v="99"/>
    <d v="2025-06-13T00:00:00"/>
    <s v="Standard Class"/>
    <s v="CUST-1041"/>
    <s v="Neha Kapoor"/>
    <x v="2"/>
    <s v="United States"/>
    <s v="Columbus"/>
    <x v="5"/>
    <x v="3"/>
    <x v="0"/>
    <s v="Copiers"/>
    <n v="470.9"/>
    <n v="4"/>
    <n v="0.05"/>
    <n v="8.2100000000000009"/>
  </r>
  <r>
    <n v="135"/>
    <s v="ORD-2025-00135"/>
    <x v="111"/>
    <d v="2025-07-12T00:00:00"/>
    <s v="Same Day"/>
    <s v="CUST-1044"/>
    <s v="Simran Kaur"/>
    <x v="2"/>
    <s v="United States"/>
    <s v="Cleveland"/>
    <x v="5"/>
    <x v="3"/>
    <x v="0"/>
    <s v="Copiers"/>
    <n v="1612.45"/>
    <n v="7"/>
    <n v="0.05"/>
    <n v="376.19"/>
  </r>
  <r>
    <n v="136"/>
    <s v="ORD-2025-00136"/>
    <x v="112"/>
    <d v="2025-02-16T00:00:00"/>
    <s v="Standard Class"/>
    <s v="CUST-1005"/>
    <s v="Neha Kapoor"/>
    <x v="1"/>
    <s v="United States"/>
    <s v="Spokane"/>
    <x v="3"/>
    <x v="0"/>
    <x v="2"/>
    <s v="Labels"/>
    <n v="1791.27"/>
    <n v="3"/>
    <n v="0.15"/>
    <n v="-35.26"/>
  </r>
  <r>
    <n v="137"/>
    <s v="ORD-2025-00137"/>
    <x v="113"/>
    <d v="2025-06-10T00:00:00"/>
    <s v="First Class"/>
    <s v="CUST-1039"/>
    <s v="Arjun Malhotra"/>
    <x v="2"/>
    <s v="United States"/>
    <s v="Charlotte"/>
    <x v="9"/>
    <x v="2"/>
    <x v="0"/>
    <s v="Copiers"/>
    <n v="316.63"/>
    <n v="8"/>
    <n v="0.05"/>
    <n v="15.51"/>
  </r>
  <r>
    <n v="138"/>
    <s v="ORD-2025-00138"/>
    <x v="114"/>
    <d v="2025-02-12T00:00:00"/>
    <s v="Same Day"/>
    <s v="CUST-1002"/>
    <s v="Riya Gupta"/>
    <x v="0"/>
    <s v="United States"/>
    <s v="Philadelphia"/>
    <x v="8"/>
    <x v="3"/>
    <x v="0"/>
    <s v="Accessories"/>
    <n v="1715.97"/>
    <n v="3"/>
    <n v="0.3"/>
    <n v="116.09"/>
  </r>
  <r>
    <n v="139"/>
    <s v="ORD-2025-00139"/>
    <x v="51"/>
    <d v="2025-11-30T00:00:00"/>
    <s v="First Class"/>
    <s v="CUST-1023"/>
    <s v="Simran Kaur"/>
    <x v="0"/>
    <s v="United States"/>
    <s v="Philadelphia"/>
    <x v="8"/>
    <x v="3"/>
    <x v="2"/>
    <s v="Labels"/>
    <n v="77.650000000000006"/>
    <n v="3"/>
    <n v="0.2"/>
    <n v="2.13"/>
  </r>
  <r>
    <n v="140"/>
    <s v="ORD-2025-00140"/>
    <x v="115"/>
    <d v="2025-10-02T00:00:00"/>
    <s v="Same Day"/>
    <s v="CUST-1033"/>
    <s v="Arjun Malhotra"/>
    <x v="1"/>
    <s v="United States"/>
    <s v="Columbus"/>
    <x v="5"/>
    <x v="3"/>
    <x v="2"/>
    <s v="Envelopes"/>
    <n v="516.07000000000005"/>
    <n v="2"/>
    <n v="0"/>
    <n v="81.27"/>
  </r>
  <r>
    <n v="141"/>
    <s v="ORD-2025-00141"/>
    <x v="116"/>
    <d v="2025-05-18T00:00:00"/>
    <s v="Standard Class"/>
    <s v="CUST-1028"/>
    <s v="Riya Gupta"/>
    <x v="1"/>
    <s v="United States"/>
    <s v="Orlando"/>
    <x v="6"/>
    <x v="2"/>
    <x v="1"/>
    <s v="Tables"/>
    <n v="1255.29"/>
    <n v="8"/>
    <n v="0"/>
    <n v="-71.650000000000006"/>
  </r>
  <r>
    <n v="142"/>
    <s v="ORD-2025-00142"/>
    <x v="117"/>
    <d v="2025-02-17T00:00:00"/>
    <s v="Second Class"/>
    <s v="CUST-1050"/>
    <s v="Neha Kapoor"/>
    <x v="1"/>
    <s v="United States"/>
    <s v="Philadelphia"/>
    <x v="8"/>
    <x v="3"/>
    <x v="0"/>
    <s v="Phones"/>
    <n v="998.99"/>
    <n v="5"/>
    <n v="0.05"/>
    <n v="190.28"/>
  </r>
  <r>
    <n v="143"/>
    <s v="ORD-2025-00143"/>
    <x v="76"/>
    <d v="2025-03-06T00:00:00"/>
    <s v="Second Class"/>
    <s v="CUST-1039"/>
    <s v="Dev Patel"/>
    <x v="0"/>
    <s v="United States"/>
    <s v="Houston"/>
    <x v="2"/>
    <x v="1"/>
    <x v="1"/>
    <s v="Furnishings"/>
    <n v="66.790000000000006"/>
    <n v="9"/>
    <n v="0.15"/>
    <n v="0.44"/>
  </r>
  <r>
    <n v="144"/>
    <s v="ORD-2025-00144"/>
    <x v="99"/>
    <d v="2025-06-12T00:00:00"/>
    <s v="First Class"/>
    <s v="CUST-1041"/>
    <s v="Ananya Sharma"/>
    <x v="2"/>
    <s v="United States"/>
    <s v="Orlando"/>
    <x v="6"/>
    <x v="2"/>
    <x v="0"/>
    <s v="Copiers"/>
    <n v="1389.11"/>
    <n v="10"/>
    <n v="0"/>
    <n v="-77.98"/>
  </r>
  <r>
    <n v="145"/>
    <s v="ORD-2025-00145"/>
    <x v="118"/>
    <d v="2025-12-20T00:00:00"/>
    <s v="Standard Class"/>
    <s v="CUST-1007"/>
    <s v="Aditya Jain"/>
    <x v="0"/>
    <s v="United States"/>
    <s v="Pittsburgh"/>
    <x v="8"/>
    <x v="3"/>
    <x v="1"/>
    <s v="Chairs"/>
    <n v="1386.65"/>
    <n v="3"/>
    <n v="0.1"/>
    <n v="84.59"/>
  </r>
  <r>
    <n v="146"/>
    <s v="ORD-2025-00146"/>
    <x v="119"/>
    <d v="2025-03-28T00:00:00"/>
    <s v="First Class"/>
    <s v="CUST-1012"/>
    <s v="Rohan Bansal"/>
    <x v="1"/>
    <s v="United States"/>
    <s v="Pittsburgh"/>
    <x v="8"/>
    <x v="3"/>
    <x v="0"/>
    <s v="Accessories"/>
    <n v="635.91999999999996"/>
    <n v="9"/>
    <n v="0.05"/>
    <n v="119.92"/>
  </r>
  <r>
    <n v="147"/>
    <s v="ORD-2025-00147"/>
    <x v="78"/>
    <d v="2025-03-09T00:00:00"/>
    <s v="Second Class"/>
    <s v="CUST-1010"/>
    <s v="Rohan Bansal"/>
    <x v="1"/>
    <s v="United States"/>
    <s v="Raleigh"/>
    <x v="9"/>
    <x v="2"/>
    <x v="0"/>
    <s v="Phones"/>
    <n v="914.58"/>
    <n v="3"/>
    <n v="0.15"/>
    <n v="189.38"/>
  </r>
  <r>
    <n v="148"/>
    <s v="ORD-2025-00148"/>
    <x v="120"/>
    <d v="2025-10-17T00:00:00"/>
    <s v="Same Day"/>
    <s v="CUST-1039"/>
    <s v="Rohan Bansal"/>
    <x v="0"/>
    <s v="United States"/>
    <s v="San Francisco"/>
    <x v="0"/>
    <x v="0"/>
    <x v="1"/>
    <s v="Bookcases"/>
    <n v="1708.41"/>
    <n v="10"/>
    <n v="0.05"/>
    <n v="205.68"/>
  </r>
  <r>
    <n v="149"/>
    <s v="ORD-2025-00149"/>
    <x v="94"/>
    <d v="2025-11-23T00:00:00"/>
    <s v="Standard Class"/>
    <s v="CUST-1010"/>
    <s v="Simran Kaur"/>
    <x v="2"/>
    <s v="United States"/>
    <s v="Buffalo"/>
    <x v="7"/>
    <x v="3"/>
    <x v="0"/>
    <s v="Machines"/>
    <n v="879.64"/>
    <n v="7"/>
    <n v="0.05"/>
    <n v="45.07"/>
  </r>
  <r>
    <n v="150"/>
    <s v="ORD-2025-00150"/>
    <x v="49"/>
    <d v="2025-08-28T00:00:00"/>
    <s v="First Class"/>
    <s v="CUST-1025"/>
    <s v="Riya Gupta"/>
    <x v="2"/>
    <s v="United States"/>
    <s v="Philadelphia"/>
    <x v="8"/>
    <x v="3"/>
    <x v="0"/>
    <s v="Accessories"/>
    <n v="576.4"/>
    <n v="6"/>
    <n v="0.2"/>
    <n v="124.39"/>
  </r>
  <r>
    <n v="151"/>
    <s v="ORD-2025-00151"/>
    <x v="121"/>
    <d v="2025-06-15T00:00:00"/>
    <s v="Same Day"/>
    <s v="CUST-1039"/>
    <s v="Arjun Malhotra"/>
    <x v="0"/>
    <s v="United States"/>
    <s v="Miami"/>
    <x v="6"/>
    <x v="2"/>
    <x v="1"/>
    <s v="Tables"/>
    <n v="820.28"/>
    <n v="3"/>
    <n v="0"/>
    <n v="-67.5"/>
  </r>
  <r>
    <n v="152"/>
    <s v="ORD-2025-00152"/>
    <x v="122"/>
    <d v="2025-06-22T00:00:00"/>
    <s v="First Class"/>
    <s v="CUST-1031"/>
    <s v="Aarav Mehta"/>
    <x v="0"/>
    <s v="United States"/>
    <s v="Pittsburgh"/>
    <x v="8"/>
    <x v="3"/>
    <x v="1"/>
    <s v="Chairs"/>
    <n v="906.91"/>
    <n v="9"/>
    <n v="0.1"/>
    <n v="54.02"/>
  </r>
  <r>
    <n v="153"/>
    <s v="ORD-2025-00153"/>
    <x v="123"/>
    <d v="2025-09-20T00:00:00"/>
    <s v="Same Day"/>
    <s v="CUST-1018"/>
    <s v="Aditya Jain"/>
    <x v="0"/>
    <s v="United States"/>
    <s v="Chicago"/>
    <x v="1"/>
    <x v="1"/>
    <x v="1"/>
    <s v="Tables"/>
    <n v="106.61"/>
    <n v="5"/>
    <n v="0.1"/>
    <n v="10.039999999999999"/>
  </r>
  <r>
    <n v="154"/>
    <s v="ORD-2025-00154"/>
    <x v="87"/>
    <d v="2025-08-11T00:00:00"/>
    <s v="Second Class"/>
    <s v="CUST-1023"/>
    <s v="Aditya Jain"/>
    <x v="2"/>
    <s v="United States"/>
    <s v="New York City"/>
    <x v="7"/>
    <x v="3"/>
    <x v="0"/>
    <s v="Machines"/>
    <n v="1379.67"/>
    <n v="6"/>
    <n v="0"/>
    <n v="55.47"/>
  </r>
  <r>
    <n v="155"/>
    <s v="ORD-2025-00155"/>
    <x v="32"/>
    <d v="2025-07-22T00:00:00"/>
    <s v="Second Class"/>
    <s v="CUST-1006"/>
    <s v="Arjun Malhotra"/>
    <x v="2"/>
    <s v="United States"/>
    <s v="Orlando"/>
    <x v="6"/>
    <x v="2"/>
    <x v="0"/>
    <s v="Machines"/>
    <n v="1489.05"/>
    <n v="10"/>
    <n v="0.2"/>
    <n v="124.88"/>
  </r>
  <r>
    <n v="156"/>
    <s v="ORD-2025-00156"/>
    <x v="73"/>
    <d v="2025-10-16T00:00:00"/>
    <s v="First Class"/>
    <s v="CUST-1030"/>
    <s v="Aditya Jain"/>
    <x v="2"/>
    <s v="United States"/>
    <s v="Houston"/>
    <x v="2"/>
    <x v="1"/>
    <x v="1"/>
    <s v="Furnishings"/>
    <n v="910.14"/>
    <n v="1"/>
    <n v="0"/>
    <n v="-47.36"/>
  </r>
  <r>
    <n v="157"/>
    <s v="ORD-2025-00157"/>
    <x v="124"/>
    <d v="2025-11-12T00:00:00"/>
    <s v="First Class"/>
    <s v="CUST-1037"/>
    <s v="Neha Kapoor"/>
    <x v="1"/>
    <s v="United States"/>
    <s v="Austin"/>
    <x v="2"/>
    <x v="1"/>
    <x v="2"/>
    <s v="Labels"/>
    <n v="586.98"/>
    <n v="7"/>
    <n v="0.15"/>
    <n v="79.98"/>
  </r>
  <r>
    <n v="158"/>
    <s v="ORD-2025-00158"/>
    <x v="12"/>
    <d v="2025-10-04T00:00:00"/>
    <s v="Same Day"/>
    <s v="CUST-1037"/>
    <s v="Priya Singh"/>
    <x v="1"/>
    <s v="United States"/>
    <s v="Charlotte"/>
    <x v="9"/>
    <x v="2"/>
    <x v="2"/>
    <s v="Art"/>
    <n v="1472.03"/>
    <n v="6"/>
    <n v="0.05"/>
    <n v="188.91"/>
  </r>
  <r>
    <n v="159"/>
    <s v="ORD-2025-00159"/>
    <x v="125"/>
    <d v="2025-11-06T00:00:00"/>
    <s v="Same Day"/>
    <s v="CUST-1009"/>
    <s v="Meera Joshi"/>
    <x v="1"/>
    <s v="United States"/>
    <s v="New York City"/>
    <x v="7"/>
    <x v="3"/>
    <x v="0"/>
    <s v="Accessories"/>
    <n v="1304.0899999999999"/>
    <n v="10"/>
    <n v="0.1"/>
    <n v="-72.14"/>
  </r>
  <r>
    <n v="160"/>
    <s v="ORD-2025-00160"/>
    <x v="6"/>
    <d v="2025-01-22T00:00:00"/>
    <s v="Second Class"/>
    <s v="CUST-1026"/>
    <s v="Aditya Jain"/>
    <x v="1"/>
    <s v="United States"/>
    <s v="Spokane"/>
    <x v="3"/>
    <x v="0"/>
    <x v="1"/>
    <s v="Bookcases"/>
    <n v="805.05"/>
    <n v="7"/>
    <n v="0"/>
    <n v="35.85"/>
  </r>
  <r>
    <n v="161"/>
    <s v="ORD-2025-00161"/>
    <x v="126"/>
    <d v="2025-02-03T00:00:00"/>
    <s v="Second Class"/>
    <s v="CUST-1029"/>
    <s v="Dev Patel"/>
    <x v="1"/>
    <s v="United States"/>
    <s v="Savannah"/>
    <x v="4"/>
    <x v="2"/>
    <x v="1"/>
    <s v="Tables"/>
    <n v="1796.66"/>
    <n v="8"/>
    <n v="0.15"/>
    <n v="16.87"/>
  </r>
  <r>
    <n v="162"/>
    <s v="ORD-2025-00162"/>
    <x v="27"/>
    <d v="2025-10-10T00:00:00"/>
    <s v="Second Class"/>
    <s v="CUST-1019"/>
    <s v="Vansh Kumar"/>
    <x v="2"/>
    <s v="United States"/>
    <s v="New York City"/>
    <x v="7"/>
    <x v="3"/>
    <x v="0"/>
    <s v="Copiers"/>
    <n v="362.23"/>
    <n v="4"/>
    <n v="0.05"/>
    <n v="31.81"/>
  </r>
  <r>
    <n v="163"/>
    <s v="ORD-2025-00163"/>
    <x v="13"/>
    <d v="2025-12-24T00:00:00"/>
    <s v="Same Day"/>
    <s v="CUST-1025"/>
    <s v="Meera Joshi"/>
    <x v="2"/>
    <s v="United States"/>
    <s v="Philadelphia"/>
    <x v="8"/>
    <x v="3"/>
    <x v="2"/>
    <s v="Storage"/>
    <n v="1017.67"/>
    <n v="5"/>
    <n v="0.05"/>
    <n v="-65.989999999999995"/>
  </r>
  <r>
    <n v="164"/>
    <s v="ORD-2025-00164"/>
    <x v="4"/>
    <d v="2025-05-30T00:00:00"/>
    <s v="Same Day"/>
    <s v="CUST-1013"/>
    <s v="Rahul Verma"/>
    <x v="1"/>
    <s v="United States"/>
    <s v="Buffalo"/>
    <x v="7"/>
    <x v="3"/>
    <x v="0"/>
    <s v="Phones"/>
    <n v="636.53"/>
    <n v="8"/>
    <n v="0.2"/>
    <n v="-25.62"/>
  </r>
  <r>
    <n v="165"/>
    <s v="ORD-2025-00165"/>
    <x v="127"/>
    <d v="2025-10-18T00:00:00"/>
    <s v="Standard Class"/>
    <s v="CUST-1006"/>
    <s v="Arjun Malhotra"/>
    <x v="2"/>
    <s v="United States"/>
    <s v="Austin"/>
    <x v="2"/>
    <x v="1"/>
    <x v="1"/>
    <s v="Chairs"/>
    <n v="451.58"/>
    <n v="9"/>
    <n v="0"/>
    <n v="55.67"/>
  </r>
  <r>
    <n v="166"/>
    <s v="ORD-2025-00166"/>
    <x v="128"/>
    <d v="2025-08-31T00:00:00"/>
    <s v="First Class"/>
    <s v="CUST-1020"/>
    <s v="Priya Singh"/>
    <x v="1"/>
    <s v="United States"/>
    <s v="Houston"/>
    <x v="2"/>
    <x v="1"/>
    <x v="1"/>
    <s v="Chairs"/>
    <n v="744.3"/>
    <n v="8"/>
    <n v="0.1"/>
    <n v="83.87"/>
  </r>
  <r>
    <n v="167"/>
    <s v="ORD-2025-00167"/>
    <x v="129"/>
    <d v="2025-02-20T00:00:00"/>
    <s v="Second Class"/>
    <s v="CUST-1002"/>
    <s v="Meera Joshi"/>
    <x v="2"/>
    <s v="United States"/>
    <s v="Springfield"/>
    <x v="1"/>
    <x v="1"/>
    <x v="0"/>
    <s v="Phones"/>
    <n v="1645.55"/>
    <n v="3"/>
    <n v="0.1"/>
    <n v="318.88"/>
  </r>
  <r>
    <n v="168"/>
    <s v="ORD-2025-00168"/>
    <x v="130"/>
    <d v="2025-04-09T00:00:00"/>
    <s v="Same Day"/>
    <s v="CUST-1008"/>
    <s v="Meera Joshi"/>
    <x v="1"/>
    <s v="United States"/>
    <s v="San Francisco"/>
    <x v="0"/>
    <x v="0"/>
    <x v="1"/>
    <s v="Tables"/>
    <n v="1030.97"/>
    <n v="2"/>
    <n v="0.05"/>
    <n v="-8.15"/>
  </r>
  <r>
    <n v="169"/>
    <s v="ORD-2025-00169"/>
    <x v="131"/>
    <d v="2025-05-22T00:00:00"/>
    <s v="First Class"/>
    <s v="CUST-1050"/>
    <s v="Priya Singh"/>
    <x v="1"/>
    <s v="United States"/>
    <s v="Seattle"/>
    <x v="3"/>
    <x v="0"/>
    <x v="2"/>
    <s v="Paper"/>
    <n v="1321.39"/>
    <n v="5"/>
    <n v="0.2"/>
    <n v="-85.67"/>
  </r>
  <r>
    <n v="170"/>
    <s v="ORD-2025-00170"/>
    <x v="68"/>
    <d v="2025-04-05T00:00:00"/>
    <s v="Second Class"/>
    <s v="CUST-1030"/>
    <s v="Neha Kapoor"/>
    <x v="0"/>
    <s v="United States"/>
    <s v="Columbus"/>
    <x v="5"/>
    <x v="3"/>
    <x v="2"/>
    <s v="Labels"/>
    <n v="603.71"/>
    <n v="7"/>
    <n v="0.2"/>
    <n v="-58.33"/>
  </r>
  <r>
    <n v="171"/>
    <s v="ORD-2025-00171"/>
    <x v="22"/>
    <d v="2025-05-18T00:00:00"/>
    <s v="Standard Class"/>
    <s v="CUST-1016"/>
    <s v="Rohan Bansal"/>
    <x v="2"/>
    <s v="United States"/>
    <s v="Chicago"/>
    <x v="1"/>
    <x v="1"/>
    <x v="2"/>
    <s v="Storage"/>
    <n v="1718.18"/>
    <n v="5"/>
    <n v="0.15"/>
    <n v="224.24"/>
  </r>
  <r>
    <n v="172"/>
    <s v="ORD-2025-00172"/>
    <x v="126"/>
    <d v="2025-02-02T00:00:00"/>
    <s v="Standard Class"/>
    <s v="CUST-1040"/>
    <s v="Dev Patel"/>
    <x v="2"/>
    <s v="United States"/>
    <s v="Orlando"/>
    <x v="6"/>
    <x v="2"/>
    <x v="2"/>
    <s v="Paper"/>
    <n v="741.64"/>
    <n v="9"/>
    <n v="0.2"/>
    <n v="103.42"/>
  </r>
  <r>
    <n v="173"/>
    <s v="ORD-2025-00173"/>
    <x v="132"/>
    <d v="2025-11-13T00:00:00"/>
    <s v="Same Day"/>
    <s v="CUST-1048"/>
    <s v="Aditya Jain"/>
    <x v="1"/>
    <s v="United States"/>
    <s v="Chicago"/>
    <x v="1"/>
    <x v="1"/>
    <x v="1"/>
    <s v="Furnishings"/>
    <n v="292.67"/>
    <n v="10"/>
    <n v="0.05"/>
    <n v="11.13"/>
  </r>
  <r>
    <n v="174"/>
    <s v="ORD-2025-00174"/>
    <x v="133"/>
    <d v="2025-05-12T00:00:00"/>
    <s v="Standard Class"/>
    <s v="CUST-1003"/>
    <s v="Meera Joshi"/>
    <x v="1"/>
    <s v="United States"/>
    <s v="Seattle"/>
    <x v="3"/>
    <x v="0"/>
    <x v="0"/>
    <s v="Copiers"/>
    <n v="960.15"/>
    <n v="6"/>
    <n v="0"/>
    <n v="212.23"/>
  </r>
  <r>
    <n v="175"/>
    <s v="ORD-2025-00175"/>
    <x v="134"/>
    <d v="2025-10-26T00:00:00"/>
    <s v="Same Day"/>
    <s v="CUST-1005"/>
    <s v="Dev Patel"/>
    <x v="1"/>
    <s v="United States"/>
    <s v="Dallas"/>
    <x v="2"/>
    <x v="1"/>
    <x v="1"/>
    <s v="Tables"/>
    <n v="1540.99"/>
    <n v="8"/>
    <n v="0"/>
    <n v="212.82"/>
  </r>
  <r>
    <n v="176"/>
    <s v="ORD-2025-00176"/>
    <x v="135"/>
    <d v="2025-02-02T00:00:00"/>
    <s v="First Class"/>
    <s v="CUST-1046"/>
    <s v="Aarav Mehta"/>
    <x v="2"/>
    <s v="United States"/>
    <s v="Dallas"/>
    <x v="2"/>
    <x v="1"/>
    <x v="0"/>
    <s v="Copiers"/>
    <n v="833.1"/>
    <n v="1"/>
    <n v="0.15"/>
    <n v="32.770000000000003"/>
  </r>
  <r>
    <n v="177"/>
    <s v="ORD-2025-00177"/>
    <x v="136"/>
    <d v="2025-01-04T00:00:00"/>
    <s v="Standard Class"/>
    <s v="CUST-1030"/>
    <s v="Aarav Mehta"/>
    <x v="2"/>
    <s v="United States"/>
    <s v="Raleigh"/>
    <x v="9"/>
    <x v="2"/>
    <x v="1"/>
    <s v="Bookcases"/>
    <n v="774.18"/>
    <n v="2"/>
    <n v="0.15"/>
    <n v="174.53"/>
  </r>
  <r>
    <n v="178"/>
    <s v="ORD-2025-00178"/>
    <x v="137"/>
    <d v="2025-04-05T00:00:00"/>
    <s v="Second Class"/>
    <s v="CUST-1041"/>
    <s v="Meera Joshi"/>
    <x v="2"/>
    <s v="United States"/>
    <s v="Columbus"/>
    <x v="5"/>
    <x v="3"/>
    <x v="2"/>
    <s v="Art"/>
    <n v="818.4"/>
    <n v="7"/>
    <n v="0.1"/>
    <n v="-71.13"/>
  </r>
  <r>
    <n v="179"/>
    <s v="ORD-2025-00179"/>
    <x v="54"/>
    <d v="2025-04-07T00:00:00"/>
    <s v="Standard Class"/>
    <s v="CUST-1019"/>
    <s v="Simran Kaur"/>
    <x v="1"/>
    <s v="United States"/>
    <s v="Cleveland"/>
    <x v="5"/>
    <x v="3"/>
    <x v="0"/>
    <s v="Accessories"/>
    <n v="1315.59"/>
    <n v="4"/>
    <n v="0.3"/>
    <n v="-189.16"/>
  </r>
  <r>
    <n v="180"/>
    <s v="ORD-2025-00180"/>
    <x v="12"/>
    <d v="2025-10-04T00:00:00"/>
    <s v="Standard Class"/>
    <s v="CUST-1002"/>
    <s v="Vansh Kumar"/>
    <x v="1"/>
    <s v="United States"/>
    <s v="Springfield"/>
    <x v="1"/>
    <x v="1"/>
    <x v="1"/>
    <s v="Furnishings"/>
    <n v="636.16"/>
    <n v="5"/>
    <n v="0"/>
    <n v="145.1"/>
  </r>
  <r>
    <n v="181"/>
    <s v="ORD-2025-00181"/>
    <x v="132"/>
    <d v="2025-11-12T00:00:00"/>
    <s v="Standard Class"/>
    <s v="CUST-1015"/>
    <s v="Ishita Roy"/>
    <x v="0"/>
    <s v="United States"/>
    <s v="Springfield"/>
    <x v="1"/>
    <x v="1"/>
    <x v="1"/>
    <s v="Bookcases"/>
    <n v="199.6"/>
    <n v="1"/>
    <n v="0.1"/>
    <n v="18.809999999999999"/>
  </r>
  <r>
    <n v="182"/>
    <s v="ORD-2025-00182"/>
    <x v="59"/>
    <d v="2025-08-15T00:00:00"/>
    <s v="First Class"/>
    <s v="CUST-1036"/>
    <s v="Kavya Agarwal"/>
    <x v="1"/>
    <s v="United States"/>
    <s v="Savannah"/>
    <x v="4"/>
    <x v="2"/>
    <x v="1"/>
    <s v="Bookcases"/>
    <n v="269.44"/>
    <n v="5"/>
    <n v="0"/>
    <n v="49.99"/>
  </r>
  <r>
    <n v="183"/>
    <s v="ORD-2025-00183"/>
    <x v="138"/>
    <d v="2025-05-05T00:00:00"/>
    <s v="Second Class"/>
    <s v="CUST-1040"/>
    <s v="Rohan Bansal"/>
    <x v="2"/>
    <s v="United States"/>
    <s v="Austin"/>
    <x v="2"/>
    <x v="1"/>
    <x v="0"/>
    <s v="Accessories"/>
    <n v="756.14"/>
    <n v="5"/>
    <n v="0"/>
    <n v="71.72"/>
  </r>
  <r>
    <n v="184"/>
    <s v="ORD-2025-00184"/>
    <x v="139"/>
    <d v="2025-09-12T00:00:00"/>
    <s v="Second Class"/>
    <s v="CUST-1019"/>
    <s v="Arjun Malhotra"/>
    <x v="0"/>
    <s v="United States"/>
    <s v="Pittsburgh"/>
    <x v="8"/>
    <x v="3"/>
    <x v="0"/>
    <s v="Copiers"/>
    <n v="1418.73"/>
    <n v="6"/>
    <n v="0.2"/>
    <n v="22.29"/>
  </r>
  <r>
    <n v="185"/>
    <s v="ORD-2025-00185"/>
    <x v="140"/>
    <d v="2025-05-06T00:00:00"/>
    <s v="Same Day"/>
    <s v="CUST-1035"/>
    <s v="Aditya Jain"/>
    <x v="0"/>
    <s v="United States"/>
    <s v="Buffalo"/>
    <x v="7"/>
    <x v="3"/>
    <x v="0"/>
    <s v="Accessories"/>
    <n v="1454.28"/>
    <n v="1"/>
    <n v="0.15"/>
    <n v="31.9"/>
  </r>
  <r>
    <n v="186"/>
    <s v="ORD-2025-00186"/>
    <x v="141"/>
    <d v="2025-05-08T00:00:00"/>
    <s v="Second Class"/>
    <s v="CUST-1003"/>
    <s v="Priya Singh"/>
    <x v="2"/>
    <s v="United States"/>
    <s v="Chicago"/>
    <x v="1"/>
    <x v="1"/>
    <x v="2"/>
    <s v="Envelopes"/>
    <n v="160.75"/>
    <n v="8"/>
    <n v="0.3"/>
    <n v="-2.4300000000000002"/>
  </r>
  <r>
    <n v="187"/>
    <s v="ORD-2025-00187"/>
    <x v="23"/>
    <d v="2025-02-09T00:00:00"/>
    <s v="Standard Class"/>
    <s v="CUST-1013"/>
    <s v="Dev Patel"/>
    <x v="0"/>
    <s v="United States"/>
    <s v="Charlotte"/>
    <x v="9"/>
    <x v="2"/>
    <x v="0"/>
    <s v="Accessories"/>
    <n v="873.32"/>
    <n v="6"/>
    <n v="0.05"/>
    <n v="198.64"/>
  </r>
  <r>
    <n v="188"/>
    <s v="ORD-2025-00188"/>
    <x v="142"/>
    <d v="2025-09-05T00:00:00"/>
    <s v="First Class"/>
    <s v="CUST-1024"/>
    <s v="Simran Kaur"/>
    <x v="1"/>
    <s v="United States"/>
    <s v="Raleigh"/>
    <x v="9"/>
    <x v="2"/>
    <x v="0"/>
    <s v="Accessories"/>
    <n v="726.01"/>
    <n v="4"/>
    <n v="0.15"/>
    <n v="-7.21"/>
  </r>
  <r>
    <n v="189"/>
    <s v="ORD-2025-00189"/>
    <x v="143"/>
    <d v="2025-06-10T00:00:00"/>
    <s v="Second Class"/>
    <s v="CUST-1023"/>
    <s v="Neha Kapoor"/>
    <x v="2"/>
    <s v="United States"/>
    <s v="Philadelphia"/>
    <x v="8"/>
    <x v="3"/>
    <x v="0"/>
    <s v="Copiers"/>
    <n v="849.49"/>
    <n v="8"/>
    <n v="0.3"/>
    <n v="126.49"/>
  </r>
  <r>
    <n v="190"/>
    <s v="ORD-2025-00190"/>
    <x v="120"/>
    <d v="2025-10-18T00:00:00"/>
    <s v="First Class"/>
    <s v="CUST-1009"/>
    <s v="Rahul Verma"/>
    <x v="2"/>
    <s v="United States"/>
    <s v="Houston"/>
    <x v="2"/>
    <x v="1"/>
    <x v="1"/>
    <s v="Tables"/>
    <n v="1004.89"/>
    <n v="10"/>
    <n v="0.15"/>
    <n v="130.13999999999999"/>
  </r>
  <r>
    <n v="191"/>
    <s v="ORD-2025-00191"/>
    <x v="43"/>
    <d v="2025-07-19T00:00:00"/>
    <s v="Same Day"/>
    <s v="CUST-1046"/>
    <s v="Rohan Bansal"/>
    <x v="1"/>
    <s v="United States"/>
    <s v="Springfield"/>
    <x v="1"/>
    <x v="1"/>
    <x v="2"/>
    <s v="Labels"/>
    <n v="1185.2"/>
    <n v="6"/>
    <n v="0.05"/>
    <n v="189.25"/>
  </r>
  <r>
    <n v="192"/>
    <s v="ORD-2025-00192"/>
    <x v="3"/>
    <d v="2025-08-26T00:00:00"/>
    <s v="Standard Class"/>
    <s v="CUST-1033"/>
    <s v="Aarav Mehta"/>
    <x v="0"/>
    <s v="United States"/>
    <s v="Philadelphia"/>
    <x v="8"/>
    <x v="3"/>
    <x v="1"/>
    <s v="Chairs"/>
    <n v="1302.1600000000001"/>
    <n v="8"/>
    <n v="0"/>
    <n v="287.67"/>
  </r>
  <r>
    <n v="193"/>
    <s v="ORD-2025-00193"/>
    <x v="144"/>
    <d v="2025-01-08T00:00:00"/>
    <s v="Same Day"/>
    <s v="CUST-1023"/>
    <s v="Aarav Mehta"/>
    <x v="1"/>
    <s v="United States"/>
    <s v="Austin"/>
    <x v="2"/>
    <x v="1"/>
    <x v="0"/>
    <s v="Accessories"/>
    <n v="140.97999999999999"/>
    <n v="3"/>
    <n v="0"/>
    <n v="-3.31"/>
  </r>
  <r>
    <n v="194"/>
    <s v="ORD-2025-00194"/>
    <x v="28"/>
    <d v="2025-12-13T00:00:00"/>
    <s v="Standard Class"/>
    <s v="CUST-1033"/>
    <s v="Ishita Roy"/>
    <x v="2"/>
    <s v="United States"/>
    <s v="Orlando"/>
    <x v="6"/>
    <x v="2"/>
    <x v="0"/>
    <s v="Copiers"/>
    <n v="48"/>
    <n v="9"/>
    <n v="0.15"/>
    <n v="1.03"/>
  </r>
  <r>
    <n v="195"/>
    <s v="ORD-2025-00195"/>
    <x v="145"/>
    <d v="2025-01-14T00:00:00"/>
    <s v="First Class"/>
    <s v="CUST-1022"/>
    <s v="Priya Singh"/>
    <x v="2"/>
    <s v="United States"/>
    <s v="Columbus"/>
    <x v="5"/>
    <x v="3"/>
    <x v="1"/>
    <s v="Bookcases"/>
    <n v="1654.13"/>
    <n v="9"/>
    <n v="0"/>
    <n v="-25.91"/>
  </r>
  <r>
    <n v="196"/>
    <s v="ORD-2025-00196"/>
    <x v="146"/>
    <d v="2025-07-15T00:00:00"/>
    <s v="Standard Class"/>
    <s v="CUST-1041"/>
    <s v="Meera Joshi"/>
    <x v="1"/>
    <s v="United States"/>
    <s v="Miami"/>
    <x v="6"/>
    <x v="2"/>
    <x v="0"/>
    <s v="Accessories"/>
    <n v="1782.61"/>
    <n v="4"/>
    <n v="0.05"/>
    <n v="235.15"/>
  </r>
  <r>
    <n v="197"/>
    <s v="ORD-2025-00197"/>
    <x v="1"/>
    <d v="2025-02-21T00:00:00"/>
    <s v="Same Day"/>
    <s v="CUST-1027"/>
    <s v="Rohan Bansal"/>
    <x v="2"/>
    <s v="United States"/>
    <s v="Columbus"/>
    <x v="5"/>
    <x v="3"/>
    <x v="2"/>
    <s v="Labels"/>
    <n v="867.29"/>
    <n v="1"/>
    <n v="0.2"/>
    <n v="-60.72"/>
  </r>
  <r>
    <n v="198"/>
    <s v="ORD-2025-00198"/>
    <x v="147"/>
    <d v="2025-09-29T00:00:00"/>
    <s v="Standard Class"/>
    <s v="CUST-1011"/>
    <s v="Dev Patel"/>
    <x v="2"/>
    <s v="United States"/>
    <s v="Chicago"/>
    <x v="1"/>
    <x v="1"/>
    <x v="1"/>
    <s v="Furnishings"/>
    <n v="502.55"/>
    <n v="2"/>
    <n v="0.2"/>
    <n v="97.47"/>
  </r>
  <r>
    <n v="199"/>
    <s v="ORD-2025-00199"/>
    <x v="148"/>
    <d v="2025-04-22T00:00:00"/>
    <s v="Same Day"/>
    <s v="CUST-1043"/>
    <s v="Dev Patel"/>
    <x v="1"/>
    <s v="United States"/>
    <s v="Dallas"/>
    <x v="2"/>
    <x v="1"/>
    <x v="0"/>
    <s v="Copiers"/>
    <n v="1673.4"/>
    <n v="5"/>
    <n v="0"/>
    <n v="162.96"/>
  </r>
  <r>
    <n v="200"/>
    <s v="ORD-2025-00200"/>
    <x v="149"/>
    <d v="2025-07-18T00:00:00"/>
    <s v="First Class"/>
    <s v="CUST-1038"/>
    <s v="Vansh Kumar"/>
    <x v="1"/>
    <s v="United States"/>
    <s v="Spokane"/>
    <x v="3"/>
    <x v="0"/>
    <x v="0"/>
    <s v="Machines"/>
    <n v="115.58"/>
    <n v="7"/>
    <n v="0"/>
    <n v="22.37"/>
  </r>
  <r>
    <n v="201"/>
    <s v="ORD-2025-00201"/>
    <x v="122"/>
    <d v="2025-06-18T00:00:00"/>
    <s v="Same Day"/>
    <s v="CUST-1005"/>
    <s v="Vansh Kumar"/>
    <x v="1"/>
    <s v="United States"/>
    <s v="Buffalo"/>
    <x v="7"/>
    <x v="3"/>
    <x v="2"/>
    <s v="Art"/>
    <n v="426.09"/>
    <n v="9"/>
    <n v="0.1"/>
    <n v="15.4"/>
  </r>
  <r>
    <n v="202"/>
    <s v="ORD-2025-00202"/>
    <x v="133"/>
    <d v="2025-05-08T00:00:00"/>
    <s v="First Class"/>
    <s v="CUST-1006"/>
    <s v="Ananya Sharma"/>
    <x v="0"/>
    <s v="United States"/>
    <s v="Spokane"/>
    <x v="3"/>
    <x v="0"/>
    <x v="2"/>
    <s v="Paper"/>
    <n v="696.4"/>
    <n v="3"/>
    <n v="0.2"/>
    <n v="4.43"/>
  </r>
  <r>
    <n v="203"/>
    <s v="ORD-2025-00203"/>
    <x v="150"/>
    <d v="2025-08-19T00:00:00"/>
    <s v="Same Day"/>
    <s v="CUST-1006"/>
    <s v="Aarav Mehta"/>
    <x v="0"/>
    <s v="United States"/>
    <s v="Buffalo"/>
    <x v="7"/>
    <x v="3"/>
    <x v="1"/>
    <s v="Chairs"/>
    <n v="175.39"/>
    <n v="7"/>
    <n v="0.1"/>
    <n v="14.02"/>
  </r>
  <r>
    <n v="204"/>
    <s v="ORD-2025-00204"/>
    <x v="9"/>
    <d v="2025-10-12T00:00:00"/>
    <s v="Standard Class"/>
    <s v="CUST-1046"/>
    <s v="Dev Patel"/>
    <x v="1"/>
    <s v="United States"/>
    <s v="Charlotte"/>
    <x v="9"/>
    <x v="2"/>
    <x v="0"/>
    <s v="Machines"/>
    <n v="1557.42"/>
    <n v="1"/>
    <n v="0.05"/>
    <n v="58.14"/>
  </r>
  <r>
    <n v="205"/>
    <s v="ORD-2025-00205"/>
    <x v="151"/>
    <d v="2025-10-25T00:00:00"/>
    <s v="Second Class"/>
    <s v="CUST-1004"/>
    <s v="Riya Gupta"/>
    <x v="2"/>
    <s v="United States"/>
    <s v="Dallas"/>
    <x v="2"/>
    <x v="1"/>
    <x v="0"/>
    <s v="Copiers"/>
    <n v="321.70999999999998"/>
    <n v="5"/>
    <n v="0.05"/>
    <n v="-4.3600000000000003"/>
  </r>
  <r>
    <n v="206"/>
    <s v="ORD-2025-00206"/>
    <x v="152"/>
    <d v="2025-08-07T00:00:00"/>
    <s v="Second Class"/>
    <s v="CUST-1029"/>
    <s v="Ananya Sharma"/>
    <x v="0"/>
    <s v="United States"/>
    <s v="Orlando"/>
    <x v="6"/>
    <x v="2"/>
    <x v="1"/>
    <s v="Tables"/>
    <n v="468.03"/>
    <n v="4"/>
    <n v="0.2"/>
    <n v="41.54"/>
  </r>
  <r>
    <n v="207"/>
    <s v="ORD-2025-00207"/>
    <x v="144"/>
    <d v="2025-01-08T00:00:00"/>
    <s v="Second Class"/>
    <s v="CUST-1019"/>
    <s v="Neha Kapoor"/>
    <x v="1"/>
    <s v="United States"/>
    <s v="Philadelphia"/>
    <x v="8"/>
    <x v="3"/>
    <x v="0"/>
    <s v="Copiers"/>
    <n v="1451.26"/>
    <n v="6"/>
    <n v="0.1"/>
    <n v="3.13"/>
  </r>
  <r>
    <n v="208"/>
    <s v="ORD-2025-00208"/>
    <x v="142"/>
    <d v="2025-09-06T00:00:00"/>
    <s v="First Class"/>
    <s v="CUST-1024"/>
    <s v="Priya Singh"/>
    <x v="2"/>
    <s v="United States"/>
    <s v="Dallas"/>
    <x v="2"/>
    <x v="1"/>
    <x v="2"/>
    <s v="Storage"/>
    <n v="538.78"/>
    <n v="8"/>
    <n v="0.15"/>
    <n v="81.459999999999994"/>
  </r>
  <r>
    <n v="209"/>
    <s v="ORD-2025-00209"/>
    <x v="46"/>
    <d v="2025-03-05T00:00:00"/>
    <s v="Same Day"/>
    <s v="CUST-1045"/>
    <s v="Rahul Verma"/>
    <x v="2"/>
    <s v="United States"/>
    <s v="Springfield"/>
    <x v="1"/>
    <x v="1"/>
    <x v="0"/>
    <s v="Accessories"/>
    <n v="1233.45"/>
    <n v="9"/>
    <n v="0"/>
    <n v="288.07"/>
  </r>
  <r>
    <n v="210"/>
    <s v="ORD-2025-00210"/>
    <x v="153"/>
    <d v="2025-12-22T00:00:00"/>
    <s v="Second Class"/>
    <s v="CUST-1045"/>
    <s v="Arjun Malhotra"/>
    <x v="2"/>
    <s v="United States"/>
    <s v="Columbus"/>
    <x v="5"/>
    <x v="3"/>
    <x v="0"/>
    <s v="Copiers"/>
    <n v="267.74"/>
    <n v="5"/>
    <n v="0"/>
    <n v="-3.1"/>
  </r>
  <r>
    <n v="211"/>
    <s v="ORD-2025-00211"/>
    <x v="154"/>
    <d v="2025-08-23T00:00:00"/>
    <s v="First Class"/>
    <s v="CUST-1044"/>
    <s v="Dev Patel"/>
    <x v="1"/>
    <s v="United States"/>
    <s v="Miami"/>
    <x v="6"/>
    <x v="2"/>
    <x v="0"/>
    <s v="Copiers"/>
    <n v="971.17"/>
    <n v="7"/>
    <n v="0.15"/>
    <n v="-106.47"/>
  </r>
  <r>
    <n v="212"/>
    <s v="ORD-2025-00212"/>
    <x v="17"/>
    <d v="2025-02-27T00:00:00"/>
    <s v="Same Day"/>
    <s v="CUST-1006"/>
    <s v="Aarav Mehta"/>
    <x v="0"/>
    <s v="United States"/>
    <s v="Pittsburgh"/>
    <x v="8"/>
    <x v="3"/>
    <x v="1"/>
    <s v="Bookcases"/>
    <n v="1022.53"/>
    <n v="7"/>
    <n v="0.3"/>
    <n v="-29.59"/>
  </r>
  <r>
    <n v="213"/>
    <s v="ORD-2025-00213"/>
    <x v="155"/>
    <d v="2025-04-29T00:00:00"/>
    <s v="Second Class"/>
    <s v="CUST-1022"/>
    <s v="Aarav Mehta"/>
    <x v="2"/>
    <s v="United States"/>
    <s v="Atlanta"/>
    <x v="4"/>
    <x v="2"/>
    <x v="0"/>
    <s v="Accessories"/>
    <n v="813.49"/>
    <n v="7"/>
    <n v="0.1"/>
    <n v="126.35"/>
  </r>
  <r>
    <n v="214"/>
    <s v="ORD-2025-00214"/>
    <x v="156"/>
    <d v="2025-06-05T00:00:00"/>
    <s v="Same Day"/>
    <s v="CUST-1022"/>
    <s v="Simran Kaur"/>
    <x v="0"/>
    <s v="United States"/>
    <s v="Spokane"/>
    <x v="3"/>
    <x v="0"/>
    <x v="1"/>
    <s v="Chairs"/>
    <n v="640.03"/>
    <n v="6"/>
    <n v="0.1"/>
    <n v="102.08"/>
  </r>
  <r>
    <n v="215"/>
    <s v="ORD-2025-00215"/>
    <x v="36"/>
    <d v="2025-12-27T00:00:00"/>
    <s v="Standard Class"/>
    <s v="CUST-1043"/>
    <s v="Vansh Kumar"/>
    <x v="0"/>
    <s v="United States"/>
    <s v="Philadelphia"/>
    <x v="8"/>
    <x v="3"/>
    <x v="1"/>
    <s v="Tables"/>
    <n v="99.54"/>
    <n v="2"/>
    <n v="0"/>
    <n v="19.63"/>
  </r>
  <r>
    <n v="216"/>
    <s v="ORD-2025-00216"/>
    <x v="157"/>
    <d v="2025-09-24T00:00:00"/>
    <s v="Second Class"/>
    <s v="CUST-1011"/>
    <s v="Rohan Bansal"/>
    <x v="1"/>
    <s v="United States"/>
    <s v="Savannah"/>
    <x v="4"/>
    <x v="2"/>
    <x v="1"/>
    <s v="Tables"/>
    <n v="1016.53"/>
    <n v="8"/>
    <n v="0"/>
    <n v="182.18"/>
  </r>
  <r>
    <n v="217"/>
    <s v="ORD-2025-00217"/>
    <x v="158"/>
    <d v="2025-07-23T00:00:00"/>
    <s v="Second Class"/>
    <s v="CUST-1017"/>
    <s v="Vansh Kumar"/>
    <x v="1"/>
    <s v="United States"/>
    <s v="Charlotte"/>
    <x v="9"/>
    <x v="2"/>
    <x v="1"/>
    <s v="Furnishings"/>
    <n v="1074.1199999999999"/>
    <n v="7"/>
    <n v="0"/>
    <n v="157.53"/>
  </r>
  <r>
    <n v="218"/>
    <s v="ORD-2025-00218"/>
    <x v="159"/>
    <d v="2025-10-24T00:00:00"/>
    <s v="Same Day"/>
    <s v="CUST-1033"/>
    <s v="Rohan Bansal"/>
    <x v="2"/>
    <s v="United States"/>
    <s v="Savannah"/>
    <x v="4"/>
    <x v="2"/>
    <x v="1"/>
    <s v="Tables"/>
    <n v="600.25"/>
    <n v="8"/>
    <n v="0"/>
    <n v="-4.91"/>
  </r>
  <r>
    <n v="219"/>
    <s v="ORD-2025-00219"/>
    <x v="160"/>
    <d v="2025-11-13T00:00:00"/>
    <s v="First Class"/>
    <s v="CUST-1039"/>
    <s v="Kavya Agarwal"/>
    <x v="0"/>
    <s v="United States"/>
    <s v="Charlotte"/>
    <x v="9"/>
    <x v="2"/>
    <x v="1"/>
    <s v="Tables"/>
    <n v="646.53"/>
    <n v="8"/>
    <n v="0.15"/>
    <n v="-40.159999999999997"/>
  </r>
  <r>
    <n v="220"/>
    <s v="ORD-2025-00220"/>
    <x v="161"/>
    <d v="2025-06-11T00:00:00"/>
    <s v="Second Class"/>
    <s v="CUST-1036"/>
    <s v="Arjun Malhotra"/>
    <x v="2"/>
    <s v="United States"/>
    <s v="Chicago"/>
    <x v="1"/>
    <x v="1"/>
    <x v="2"/>
    <s v="Binders"/>
    <n v="345.82"/>
    <n v="3"/>
    <n v="0.15"/>
    <n v="4.66"/>
  </r>
  <r>
    <n v="221"/>
    <s v="ORD-2025-00221"/>
    <x v="41"/>
    <d v="2025-09-12T00:00:00"/>
    <s v="Same Day"/>
    <s v="CUST-1039"/>
    <s v="Aarav Mehta"/>
    <x v="2"/>
    <s v="United States"/>
    <s v="Houston"/>
    <x v="2"/>
    <x v="1"/>
    <x v="0"/>
    <s v="Accessories"/>
    <n v="891.56"/>
    <n v="3"/>
    <n v="0"/>
    <n v="9.01"/>
  </r>
  <r>
    <n v="222"/>
    <s v="ORD-2025-00222"/>
    <x v="162"/>
    <d v="2025-09-08T00:00:00"/>
    <s v="Same Day"/>
    <s v="CUST-1045"/>
    <s v="Meera Joshi"/>
    <x v="2"/>
    <s v="United States"/>
    <s v="Springfield"/>
    <x v="1"/>
    <x v="1"/>
    <x v="2"/>
    <s v="Labels"/>
    <n v="919.68"/>
    <n v="8"/>
    <n v="0.1"/>
    <n v="114.63"/>
  </r>
  <r>
    <n v="223"/>
    <s v="ORD-2025-00223"/>
    <x v="163"/>
    <d v="2025-03-28T00:00:00"/>
    <s v="Second Class"/>
    <s v="CUST-1049"/>
    <s v="Simran Kaur"/>
    <x v="1"/>
    <s v="United States"/>
    <s v="Raleigh"/>
    <x v="9"/>
    <x v="2"/>
    <x v="1"/>
    <s v="Chairs"/>
    <n v="539.91999999999996"/>
    <n v="5"/>
    <n v="0"/>
    <n v="47.6"/>
  </r>
  <r>
    <n v="224"/>
    <s v="ORD-2025-00224"/>
    <x v="164"/>
    <d v="2025-10-14T00:00:00"/>
    <s v="Standard Class"/>
    <s v="CUST-1048"/>
    <s v="Ishita Roy"/>
    <x v="2"/>
    <s v="United States"/>
    <s v="Seattle"/>
    <x v="3"/>
    <x v="0"/>
    <x v="0"/>
    <s v="Phones"/>
    <n v="496.84"/>
    <n v="9"/>
    <n v="0.3"/>
    <n v="100.27"/>
  </r>
  <r>
    <n v="225"/>
    <s v="ORD-2025-00225"/>
    <x v="52"/>
    <d v="2025-08-07T00:00:00"/>
    <s v="Same Day"/>
    <s v="CUST-1007"/>
    <s v="Vansh Kumar"/>
    <x v="0"/>
    <s v="United States"/>
    <s v="Chicago"/>
    <x v="1"/>
    <x v="1"/>
    <x v="2"/>
    <s v="Binders"/>
    <n v="820.52"/>
    <n v="6"/>
    <n v="0.3"/>
    <n v="115.57"/>
  </r>
  <r>
    <n v="226"/>
    <s v="ORD-2025-00226"/>
    <x v="14"/>
    <d v="2025-11-01T00:00:00"/>
    <s v="Second Class"/>
    <s v="CUST-1003"/>
    <s v="Kavya Agarwal"/>
    <x v="2"/>
    <s v="United States"/>
    <s v="Raleigh"/>
    <x v="9"/>
    <x v="2"/>
    <x v="0"/>
    <s v="Copiers"/>
    <n v="315.45"/>
    <n v="3"/>
    <n v="0.3"/>
    <n v="-22.93"/>
  </r>
  <r>
    <n v="227"/>
    <s v="ORD-2025-00227"/>
    <x v="125"/>
    <d v="2025-11-07T00:00:00"/>
    <s v="Standard Class"/>
    <s v="CUST-1008"/>
    <s v="Vansh Kumar"/>
    <x v="2"/>
    <s v="United States"/>
    <s v="Houston"/>
    <x v="2"/>
    <x v="1"/>
    <x v="2"/>
    <s v="Envelopes"/>
    <n v="540.89"/>
    <n v="10"/>
    <n v="0.05"/>
    <n v="122.15"/>
  </r>
  <r>
    <n v="228"/>
    <s v="ORD-2025-00228"/>
    <x v="165"/>
    <d v="2025-05-24T00:00:00"/>
    <s v="Same Day"/>
    <s v="CUST-1031"/>
    <s v="Riya Gupta"/>
    <x v="1"/>
    <s v="United States"/>
    <s v="Austin"/>
    <x v="2"/>
    <x v="1"/>
    <x v="1"/>
    <s v="Chairs"/>
    <n v="1286.28"/>
    <n v="4"/>
    <n v="0.3"/>
    <n v="193.26"/>
  </r>
  <r>
    <n v="229"/>
    <s v="ORD-2025-00229"/>
    <x v="166"/>
    <d v="2025-05-22T00:00:00"/>
    <s v="First Class"/>
    <s v="CUST-1044"/>
    <s v="Dev Patel"/>
    <x v="2"/>
    <s v="United States"/>
    <s v="Cleveland"/>
    <x v="5"/>
    <x v="3"/>
    <x v="2"/>
    <s v="Binders"/>
    <n v="1147.8599999999999"/>
    <n v="2"/>
    <n v="0.1"/>
    <n v="75.14"/>
  </r>
  <r>
    <n v="230"/>
    <s v="ORD-2025-00230"/>
    <x v="41"/>
    <d v="2025-09-10T00:00:00"/>
    <s v="First Class"/>
    <s v="CUST-1004"/>
    <s v="Vansh Kumar"/>
    <x v="1"/>
    <s v="United States"/>
    <s v="Raleigh"/>
    <x v="9"/>
    <x v="2"/>
    <x v="1"/>
    <s v="Bookcases"/>
    <n v="1321.06"/>
    <n v="8"/>
    <n v="0.2"/>
    <n v="135.34"/>
  </r>
  <r>
    <n v="231"/>
    <s v="ORD-2025-00231"/>
    <x v="75"/>
    <d v="2025-04-26T00:00:00"/>
    <s v="Second Class"/>
    <s v="CUST-1036"/>
    <s v="Meera Joshi"/>
    <x v="2"/>
    <s v="United States"/>
    <s v="Springfield"/>
    <x v="1"/>
    <x v="1"/>
    <x v="2"/>
    <s v="Storage"/>
    <n v="594.70000000000005"/>
    <n v="5"/>
    <n v="0.05"/>
    <n v="49.99"/>
  </r>
  <r>
    <n v="232"/>
    <s v="ORD-2025-00232"/>
    <x v="167"/>
    <d v="2025-12-17T00:00:00"/>
    <s v="Same Day"/>
    <s v="CUST-1012"/>
    <s v="Ishita Roy"/>
    <x v="0"/>
    <s v="United States"/>
    <s v="San Diego"/>
    <x v="0"/>
    <x v="0"/>
    <x v="1"/>
    <s v="Furnishings"/>
    <n v="48.98"/>
    <n v="3"/>
    <n v="0.1"/>
    <n v="2.19"/>
  </r>
  <r>
    <n v="233"/>
    <s v="ORD-2025-00233"/>
    <x v="168"/>
    <d v="2025-06-06T00:00:00"/>
    <s v="Second Class"/>
    <s v="CUST-1003"/>
    <s v="Arjun Malhotra"/>
    <x v="1"/>
    <s v="United States"/>
    <s v="Buffalo"/>
    <x v="7"/>
    <x v="3"/>
    <x v="1"/>
    <s v="Tables"/>
    <n v="465.69"/>
    <n v="6"/>
    <n v="0.2"/>
    <n v="86.77"/>
  </r>
  <r>
    <n v="234"/>
    <s v="ORD-2025-00234"/>
    <x v="169"/>
    <d v="2025-12-27T00:00:00"/>
    <s v="Second Class"/>
    <s v="CUST-1037"/>
    <s v="Rahul Verma"/>
    <x v="1"/>
    <s v="United States"/>
    <s v="Cleveland"/>
    <x v="5"/>
    <x v="3"/>
    <x v="0"/>
    <s v="Phones"/>
    <n v="1272.58"/>
    <n v="1"/>
    <n v="0"/>
    <n v="85.11"/>
  </r>
  <r>
    <n v="235"/>
    <s v="ORD-2025-00235"/>
    <x v="170"/>
    <d v="2025-01-06T00:00:00"/>
    <s v="Standard Class"/>
    <s v="CUST-1046"/>
    <s v="Vansh Kumar"/>
    <x v="0"/>
    <s v="United States"/>
    <s v="Philadelphia"/>
    <x v="8"/>
    <x v="3"/>
    <x v="1"/>
    <s v="Furnishings"/>
    <n v="1255.3800000000001"/>
    <n v="8"/>
    <n v="0"/>
    <n v="-24.94"/>
  </r>
  <r>
    <n v="236"/>
    <s v="ORD-2025-00236"/>
    <x v="161"/>
    <d v="2025-06-13T00:00:00"/>
    <s v="Second Class"/>
    <s v="CUST-1004"/>
    <s v="Aditya Jain"/>
    <x v="1"/>
    <s v="United States"/>
    <s v="New York City"/>
    <x v="7"/>
    <x v="3"/>
    <x v="1"/>
    <s v="Furnishings"/>
    <n v="1396.76"/>
    <n v="3"/>
    <n v="0.2"/>
    <n v="303.83999999999997"/>
  </r>
  <r>
    <n v="237"/>
    <s v="ORD-2025-00237"/>
    <x v="160"/>
    <d v="2025-11-11T00:00:00"/>
    <s v="Same Day"/>
    <s v="CUST-1013"/>
    <s v="Ananya Sharma"/>
    <x v="0"/>
    <s v="United States"/>
    <s v="Miami"/>
    <x v="6"/>
    <x v="2"/>
    <x v="2"/>
    <s v="Envelopes"/>
    <n v="399.24"/>
    <n v="3"/>
    <n v="0.1"/>
    <n v="40.17"/>
  </r>
  <r>
    <n v="238"/>
    <s v="ORD-2025-00238"/>
    <x v="171"/>
    <d v="2025-03-10T00:00:00"/>
    <s v="Standard Class"/>
    <s v="CUST-1015"/>
    <s v="Aditya Jain"/>
    <x v="1"/>
    <s v="United States"/>
    <s v="Cleveland"/>
    <x v="5"/>
    <x v="3"/>
    <x v="2"/>
    <s v="Art"/>
    <n v="579.82000000000005"/>
    <n v="3"/>
    <n v="0"/>
    <n v="-1.78"/>
  </r>
  <r>
    <n v="239"/>
    <s v="ORD-2025-00239"/>
    <x v="13"/>
    <d v="2025-12-21T00:00:00"/>
    <s v="Second Class"/>
    <s v="CUST-1031"/>
    <s v="Arjun Malhotra"/>
    <x v="0"/>
    <s v="United States"/>
    <s v="New York City"/>
    <x v="7"/>
    <x v="3"/>
    <x v="1"/>
    <s v="Chairs"/>
    <n v="1351.16"/>
    <n v="5"/>
    <n v="0.2"/>
    <n v="-149.84"/>
  </r>
  <r>
    <n v="240"/>
    <s v="ORD-2025-00240"/>
    <x v="64"/>
    <d v="2025-09-18T00:00:00"/>
    <s v="Same Day"/>
    <s v="CUST-1023"/>
    <s v="Aditya Jain"/>
    <x v="1"/>
    <s v="United States"/>
    <s v="Seattle"/>
    <x v="3"/>
    <x v="0"/>
    <x v="0"/>
    <s v="Phones"/>
    <n v="1776.65"/>
    <n v="6"/>
    <n v="0"/>
    <n v="62.88"/>
  </r>
  <r>
    <n v="241"/>
    <s v="ORD-2025-00241"/>
    <x v="128"/>
    <d v="2025-08-31T00:00:00"/>
    <s v="Same Day"/>
    <s v="CUST-1032"/>
    <s v="Priya Singh"/>
    <x v="1"/>
    <s v="United States"/>
    <s v="San Diego"/>
    <x v="0"/>
    <x v="0"/>
    <x v="0"/>
    <s v="Phones"/>
    <n v="44.55"/>
    <n v="4"/>
    <n v="0"/>
    <n v="9.93"/>
  </r>
  <r>
    <n v="242"/>
    <s v="ORD-2025-00242"/>
    <x v="10"/>
    <d v="2025-09-18T00:00:00"/>
    <s v="First Class"/>
    <s v="CUST-1005"/>
    <s v="Priya Singh"/>
    <x v="0"/>
    <s v="United States"/>
    <s v="Columbus"/>
    <x v="5"/>
    <x v="3"/>
    <x v="0"/>
    <s v="Copiers"/>
    <n v="166.72"/>
    <n v="9"/>
    <n v="0.15"/>
    <n v="15.52"/>
  </r>
  <r>
    <n v="243"/>
    <s v="ORD-2025-00243"/>
    <x v="172"/>
    <d v="2025-03-26T00:00:00"/>
    <s v="Second Class"/>
    <s v="CUST-1003"/>
    <s v="Rahul Verma"/>
    <x v="0"/>
    <s v="United States"/>
    <s v="Pittsburgh"/>
    <x v="8"/>
    <x v="3"/>
    <x v="2"/>
    <s v="Labels"/>
    <n v="1149.04"/>
    <n v="2"/>
    <n v="0.05"/>
    <n v="157.46"/>
  </r>
  <r>
    <n v="244"/>
    <s v="ORD-2025-00244"/>
    <x v="74"/>
    <d v="2025-03-05T00:00:00"/>
    <s v="Second Class"/>
    <s v="CUST-1044"/>
    <s v="Aarav Mehta"/>
    <x v="0"/>
    <s v="United States"/>
    <s v="Raleigh"/>
    <x v="9"/>
    <x v="2"/>
    <x v="0"/>
    <s v="Phones"/>
    <n v="570.54"/>
    <n v="3"/>
    <n v="0"/>
    <n v="-54.52"/>
  </r>
  <r>
    <n v="245"/>
    <s v="ORD-2025-00245"/>
    <x v="173"/>
    <d v="2025-07-02T00:00:00"/>
    <s v="First Class"/>
    <s v="CUST-1046"/>
    <s v="Dev Patel"/>
    <x v="0"/>
    <s v="United States"/>
    <s v="Atlanta"/>
    <x v="4"/>
    <x v="2"/>
    <x v="0"/>
    <s v="Machines"/>
    <n v="317.19"/>
    <n v="3"/>
    <n v="0.2"/>
    <n v="45.48"/>
  </r>
  <r>
    <n v="246"/>
    <s v="ORD-2025-00246"/>
    <x v="174"/>
    <d v="2025-06-25T00:00:00"/>
    <s v="Same Day"/>
    <s v="CUST-1032"/>
    <s v="Neha Kapoor"/>
    <x v="0"/>
    <s v="United States"/>
    <s v="Buffalo"/>
    <x v="7"/>
    <x v="3"/>
    <x v="0"/>
    <s v="Phones"/>
    <n v="488.05"/>
    <n v="10"/>
    <n v="0.2"/>
    <n v="-50.28"/>
  </r>
  <r>
    <n v="247"/>
    <s v="ORD-2025-00247"/>
    <x v="175"/>
    <d v="2025-10-20T00:00:00"/>
    <s v="Second Class"/>
    <s v="CUST-1047"/>
    <s v="Aditya Jain"/>
    <x v="0"/>
    <s v="United States"/>
    <s v="Philadelphia"/>
    <x v="8"/>
    <x v="3"/>
    <x v="1"/>
    <s v="Tables"/>
    <n v="1396.53"/>
    <n v="10"/>
    <n v="0.2"/>
    <n v="171.73"/>
  </r>
  <r>
    <n v="248"/>
    <s v="ORD-2025-00248"/>
    <x v="55"/>
    <d v="2025-01-09T00:00:00"/>
    <s v="Standard Class"/>
    <s v="CUST-1035"/>
    <s v="Vansh Kumar"/>
    <x v="1"/>
    <s v="United States"/>
    <s v="San Diego"/>
    <x v="0"/>
    <x v="0"/>
    <x v="2"/>
    <s v="Storage"/>
    <n v="701.7"/>
    <n v="3"/>
    <n v="0"/>
    <n v="158.52000000000001"/>
  </r>
  <r>
    <n v="249"/>
    <s v="ORD-2025-00249"/>
    <x v="176"/>
    <d v="2025-12-06T00:00:00"/>
    <s v="First Class"/>
    <s v="CUST-1007"/>
    <s v="Aditya Jain"/>
    <x v="1"/>
    <s v="United States"/>
    <s v="Chicago"/>
    <x v="1"/>
    <x v="1"/>
    <x v="2"/>
    <s v="Paper"/>
    <n v="760.94"/>
    <n v="6"/>
    <n v="0.05"/>
    <n v="138.19"/>
  </r>
  <r>
    <n v="250"/>
    <s v="ORD-2025-00250"/>
    <x v="54"/>
    <d v="2025-04-04T00:00:00"/>
    <s v="First Class"/>
    <s v="CUST-1020"/>
    <s v="Ananya Sharma"/>
    <x v="1"/>
    <s v="United States"/>
    <s v="Savannah"/>
    <x v="4"/>
    <x v="2"/>
    <x v="1"/>
    <s v="Furnishings"/>
    <n v="142.69"/>
    <n v="8"/>
    <n v="0.3"/>
    <n v="-6.59"/>
  </r>
  <r>
    <n v="251"/>
    <s v="ORD-2025-00251"/>
    <x v="170"/>
    <d v="2025-01-08T00:00:00"/>
    <s v="Same Day"/>
    <s v="CUST-1049"/>
    <s v="Vansh Kumar"/>
    <x v="0"/>
    <s v="United States"/>
    <s v="Chicago"/>
    <x v="1"/>
    <x v="1"/>
    <x v="2"/>
    <s v="Labels"/>
    <n v="1416.42"/>
    <n v="10"/>
    <n v="0"/>
    <n v="88.35"/>
  </r>
  <r>
    <n v="252"/>
    <s v="ORD-2025-00252"/>
    <x v="177"/>
    <d v="2025-03-20T00:00:00"/>
    <s v="Same Day"/>
    <s v="CUST-1047"/>
    <s v="Ishita Roy"/>
    <x v="2"/>
    <s v="United States"/>
    <s v="Columbus"/>
    <x v="5"/>
    <x v="3"/>
    <x v="1"/>
    <s v="Chairs"/>
    <n v="983.95"/>
    <n v="1"/>
    <n v="0.05"/>
    <n v="-105.27"/>
  </r>
  <r>
    <n v="253"/>
    <s v="ORD-2025-00253"/>
    <x v="178"/>
    <d v="2025-04-21T00:00:00"/>
    <s v="Standard Class"/>
    <s v="CUST-1014"/>
    <s v="Dev Patel"/>
    <x v="1"/>
    <s v="United States"/>
    <s v="Springfield"/>
    <x v="1"/>
    <x v="1"/>
    <x v="2"/>
    <s v="Art"/>
    <n v="1730.91"/>
    <n v="3"/>
    <n v="0.2"/>
    <n v="-55.49"/>
  </r>
  <r>
    <n v="254"/>
    <s v="ORD-2025-00254"/>
    <x v="169"/>
    <d v="2025-12-28T00:00:00"/>
    <s v="Same Day"/>
    <s v="CUST-1004"/>
    <s v="Kavya Agarwal"/>
    <x v="1"/>
    <s v="United States"/>
    <s v="Miami"/>
    <x v="6"/>
    <x v="2"/>
    <x v="0"/>
    <s v="Phones"/>
    <n v="1053.77"/>
    <n v="9"/>
    <n v="0"/>
    <n v="129.63999999999999"/>
  </r>
  <r>
    <n v="255"/>
    <s v="ORD-2025-00255"/>
    <x v="179"/>
    <d v="2025-08-13T00:00:00"/>
    <s v="First Class"/>
    <s v="CUST-1020"/>
    <s v="Simran Kaur"/>
    <x v="2"/>
    <s v="United States"/>
    <s v="Chicago"/>
    <x v="1"/>
    <x v="1"/>
    <x v="2"/>
    <s v="Storage"/>
    <n v="1534.63"/>
    <n v="7"/>
    <n v="0.2"/>
    <n v="247.33"/>
  </r>
  <r>
    <n v="256"/>
    <s v="ORD-2025-00256"/>
    <x v="114"/>
    <d v="2025-02-10T00:00:00"/>
    <s v="Same Day"/>
    <s v="CUST-1007"/>
    <s v="Aditya Jain"/>
    <x v="2"/>
    <s v="United States"/>
    <s v="Houston"/>
    <x v="2"/>
    <x v="1"/>
    <x v="0"/>
    <s v="Phones"/>
    <n v="296.63"/>
    <n v="3"/>
    <n v="0.1"/>
    <n v="14.27"/>
  </r>
  <r>
    <n v="257"/>
    <s v="ORD-2025-00257"/>
    <x v="180"/>
    <d v="2025-08-23T00:00:00"/>
    <s v="Standard Class"/>
    <s v="CUST-1013"/>
    <s v="Meera Joshi"/>
    <x v="2"/>
    <s v="United States"/>
    <s v="Miami"/>
    <x v="6"/>
    <x v="2"/>
    <x v="2"/>
    <s v="Binders"/>
    <n v="180.95"/>
    <n v="5"/>
    <n v="0.3"/>
    <n v="18.39"/>
  </r>
  <r>
    <n v="258"/>
    <s v="ORD-2025-00258"/>
    <x v="81"/>
    <d v="2025-02-18T00:00:00"/>
    <s v="Second Class"/>
    <s v="CUST-1001"/>
    <s v="Arjun Malhotra"/>
    <x v="2"/>
    <s v="United States"/>
    <s v="Philadelphia"/>
    <x v="8"/>
    <x v="3"/>
    <x v="2"/>
    <s v="Labels"/>
    <n v="107.13"/>
    <n v="5"/>
    <n v="0.05"/>
    <n v="19.23"/>
  </r>
  <r>
    <n v="259"/>
    <s v="ORD-2025-00259"/>
    <x v="181"/>
    <d v="2025-02-22T00:00:00"/>
    <s v="Same Day"/>
    <s v="CUST-1023"/>
    <s v="Rohan Bansal"/>
    <x v="1"/>
    <s v="United States"/>
    <s v="Seattle"/>
    <x v="3"/>
    <x v="0"/>
    <x v="1"/>
    <s v="Bookcases"/>
    <n v="41.28"/>
    <n v="4"/>
    <n v="0"/>
    <n v="-1.27"/>
  </r>
  <r>
    <n v="260"/>
    <s v="ORD-2025-00260"/>
    <x v="182"/>
    <d v="2025-10-31T00:00:00"/>
    <s v="Second Class"/>
    <s v="CUST-1005"/>
    <s v="Dev Patel"/>
    <x v="2"/>
    <s v="United States"/>
    <s v="New York City"/>
    <x v="7"/>
    <x v="3"/>
    <x v="1"/>
    <s v="Bookcases"/>
    <n v="1794.95"/>
    <n v="4"/>
    <n v="0.2"/>
    <n v="45.23"/>
  </r>
  <r>
    <n v="261"/>
    <s v="ORD-2025-00261"/>
    <x v="183"/>
    <d v="2025-01-26T00:00:00"/>
    <s v="Same Day"/>
    <s v="CUST-1011"/>
    <s v="Neha Kapoor"/>
    <x v="0"/>
    <s v="United States"/>
    <s v="Los Angeles"/>
    <x v="0"/>
    <x v="0"/>
    <x v="1"/>
    <s v="Furnishings"/>
    <n v="1482.6"/>
    <n v="7"/>
    <n v="0.1"/>
    <n v="-155.19999999999999"/>
  </r>
  <r>
    <n v="262"/>
    <s v="ORD-2025-00262"/>
    <x v="70"/>
    <d v="2025-05-24T00:00:00"/>
    <s v="Same Day"/>
    <s v="CUST-1026"/>
    <s v="Dev Patel"/>
    <x v="1"/>
    <s v="United States"/>
    <s v="Orlando"/>
    <x v="6"/>
    <x v="2"/>
    <x v="1"/>
    <s v="Bookcases"/>
    <n v="1113.1099999999999"/>
    <n v="10"/>
    <n v="0"/>
    <n v="140.86000000000001"/>
  </r>
  <r>
    <n v="263"/>
    <s v="ORD-2025-00263"/>
    <x v="126"/>
    <d v="2025-02-02T00:00:00"/>
    <s v="Standard Class"/>
    <s v="CUST-1024"/>
    <s v="Vansh Kumar"/>
    <x v="1"/>
    <s v="United States"/>
    <s v="Buffalo"/>
    <x v="7"/>
    <x v="3"/>
    <x v="2"/>
    <s v="Paper"/>
    <n v="766.24"/>
    <n v="9"/>
    <n v="0"/>
    <n v="92.53"/>
  </r>
  <r>
    <n v="264"/>
    <s v="ORD-2025-00264"/>
    <x v="142"/>
    <d v="2025-09-08T00:00:00"/>
    <s v="First Class"/>
    <s v="CUST-1038"/>
    <s v="Rahul Verma"/>
    <x v="0"/>
    <s v="United States"/>
    <s v="Orlando"/>
    <x v="6"/>
    <x v="2"/>
    <x v="2"/>
    <s v="Labels"/>
    <n v="914.26"/>
    <n v="7"/>
    <n v="0.05"/>
    <n v="-40.74"/>
  </r>
  <r>
    <n v="265"/>
    <s v="ORD-2025-00265"/>
    <x v="184"/>
    <d v="2025-02-03T00:00:00"/>
    <s v="Second Class"/>
    <s v="CUST-1017"/>
    <s v="Aditya Jain"/>
    <x v="1"/>
    <s v="United States"/>
    <s v="Atlanta"/>
    <x v="4"/>
    <x v="2"/>
    <x v="2"/>
    <s v="Labels"/>
    <n v="1799.3"/>
    <n v="3"/>
    <n v="0"/>
    <n v="-23.84"/>
  </r>
  <r>
    <n v="266"/>
    <s v="ORD-2025-00266"/>
    <x v="71"/>
    <d v="2025-04-28T00:00:00"/>
    <s v="First Class"/>
    <s v="CUST-1037"/>
    <s v="Aarav Mehta"/>
    <x v="1"/>
    <s v="United States"/>
    <s v="Cleveland"/>
    <x v="5"/>
    <x v="3"/>
    <x v="2"/>
    <s v="Paper"/>
    <n v="333.46"/>
    <n v="10"/>
    <n v="0.05"/>
    <n v="58.25"/>
  </r>
  <r>
    <n v="267"/>
    <s v="ORD-2025-00267"/>
    <x v="175"/>
    <d v="2025-10-23T00:00:00"/>
    <s v="Same Day"/>
    <s v="CUST-1002"/>
    <s v="Ananya Sharma"/>
    <x v="0"/>
    <s v="United States"/>
    <s v="Houston"/>
    <x v="2"/>
    <x v="1"/>
    <x v="0"/>
    <s v="Accessories"/>
    <n v="1509.32"/>
    <n v="8"/>
    <n v="0.15"/>
    <n v="-21.63"/>
  </r>
  <r>
    <n v="268"/>
    <s v="ORD-2025-00268"/>
    <x v="185"/>
    <d v="2025-11-07T00:00:00"/>
    <s v="First Class"/>
    <s v="CUST-1045"/>
    <s v="Riya Gupta"/>
    <x v="2"/>
    <s v="United States"/>
    <s v="Los Angeles"/>
    <x v="0"/>
    <x v="0"/>
    <x v="0"/>
    <s v="Copiers"/>
    <n v="21.22"/>
    <n v="10"/>
    <n v="0"/>
    <n v="3.87"/>
  </r>
  <r>
    <n v="269"/>
    <s v="ORD-2025-00269"/>
    <x v="186"/>
    <d v="2025-01-14T00:00:00"/>
    <s v="Standard Class"/>
    <s v="CUST-1023"/>
    <s v="Ishita Roy"/>
    <x v="1"/>
    <s v="United States"/>
    <s v="Raleigh"/>
    <x v="9"/>
    <x v="2"/>
    <x v="0"/>
    <s v="Accessories"/>
    <n v="1398.37"/>
    <n v="9"/>
    <n v="0.3"/>
    <n v="-24.18"/>
  </r>
  <r>
    <n v="270"/>
    <s v="ORD-2025-00270"/>
    <x v="187"/>
    <d v="2025-10-29T00:00:00"/>
    <s v="Same Day"/>
    <s v="CUST-1041"/>
    <s v="Neha Kapoor"/>
    <x v="0"/>
    <s v="United States"/>
    <s v="Pittsburgh"/>
    <x v="8"/>
    <x v="3"/>
    <x v="2"/>
    <s v="Storage"/>
    <n v="262.88"/>
    <n v="3"/>
    <n v="0.2"/>
    <n v="53.11"/>
  </r>
  <r>
    <n v="271"/>
    <s v="ORD-2025-00271"/>
    <x v="30"/>
    <d v="2025-04-30T00:00:00"/>
    <s v="Standard Class"/>
    <s v="CUST-1044"/>
    <s v="Kavya Agarwal"/>
    <x v="2"/>
    <s v="United States"/>
    <s v="Austin"/>
    <x v="2"/>
    <x v="1"/>
    <x v="2"/>
    <s v="Storage"/>
    <n v="1326.51"/>
    <n v="5"/>
    <n v="0"/>
    <n v="-50.14"/>
  </r>
  <r>
    <n v="272"/>
    <s v="ORD-2025-00272"/>
    <x v="6"/>
    <d v="2025-01-19T00:00:00"/>
    <s v="Second Class"/>
    <s v="CUST-1021"/>
    <s v="Ishita Roy"/>
    <x v="0"/>
    <s v="United States"/>
    <s v="Charlotte"/>
    <x v="9"/>
    <x v="2"/>
    <x v="2"/>
    <s v="Labels"/>
    <n v="413.19"/>
    <n v="10"/>
    <n v="0"/>
    <n v="94.14"/>
  </r>
  <r>
    <n v="273"/>
    <s v="ORD-2025-00273"/>
    <x v="173"/>
    <d v="2025-06-30T00:00:00"/>
    <s v="Second Class"/>
    <s v="CUST-1015"/>
    <s v="Ishita Roy"/>
    <x v="0"/>
    <s v="United States"/>
    <s v="Dallas"/>
    <x v="2"/>
    <x v="1"/>
    <x v="0"/>
    <s v="Phones"/>
    <n v="1482.56"/>
    <n v="6"/>
    <n v="0.1"/>
    <n v="-164.58"/>
  </r>
  <r>
    <n v="274"/>
    <s v="ORD-2025-00274"/>
    <x v="72"/>
    <d v="2025-05-13T00:00:00"/>
    <s v="Same Day"/>
    <s v="CUST-1024"/>
    <s v="Neha Kapoor"/>
    <x v="1"/>
    <s v="United States"/>
    <s v="San Francisco"/>
    <x v="0"/>
    <x v="0"/>
    <x v="1"/>
    <s v="Furnishings"/>
    <n v="800.03"/>
    <n v="7"/>
    <n v="0"/>
    <n v="167.68"/>
  </r>
  <r>
    <n v="275"/>
    <s v="ORD-2025-00275"/>
    <x v="188"/>
    <d v="2025-02-25T00:00:00"/>
    <s v="First Class"/>
    <s v="CUST-1001"/>
    <s v="Neha Kapoor"/>
    <x v="2"/>
    <s v="United States"/>
    <s v="Charlotte"/>
    <x v="9"/>
    <x v="2"/>
    <x v="0"/>
    <s v="Accessories"/>
    <n v="309.52999999999997"/>
    <n v="2"/>
    <n v="0.3"/>
    <n v="46.74"/>
  </r>
  <r>
    <n v="276"/>
    <s v="ORD-2025-00276"/>
    <x v="23"/>
    <d v="2025-02-10T00:00:00"/>
    <s v="Same Day"/>
    <s v="CUST-1045"/>
    <s v="Aarav Mehta"/>
    <x v="2"/>
    <s v="United States"/>
    <s v="Austin"/>
    <x v="2"/>
    <x v="1"/>
    <x v="2"/>
    <s v="Paper"/>
    <n v="1322.93"/>
    <n v="9"/>
    <n v="0"/>
    <n v="24.19"/>
  </r>
  <r>
    <n v="277"/>
    <s v="ORD-2025-00277"/>
    <x v="119"/>
    <d v="2025-03-31T00:00:00"/>
    <s v="First Class"/>
    <s v="CUST-1042"/>
    <s v="Priya Singh"/>
    <x v="2"/>
    <s v="United States"/>
    <s v="Columbus"/>
    <x v="5"/>
    <x v="3"/>
    <x v="1"/>
    <s v="Bookcases"/>
    <n v="200.24"/>
    <n v="4"/>
    <n v="0"/>
    <n v="8.66"/>
  </r>
  <r>
    <n v="278"/>
    <s v="ORD-2025-00278"/>
    <x v="189"/>
    <d v="2025-02-20T00:00:00"/>
    <s v="First Class"/>
    <s v="CUST-1042"/>
    <s v="Rohan Bansal"/>
    <x v="1"/>
    <s v="United States"/>
    <s v="Cleveland"/>
    <x v="5"/>
    <x v="3"/>
    <x v="0"/>
    <s v="Copiers"/>
    <n v="293.39"/>
    <n v="6"/>
    <n v="0"/>
    <n v="14.57"/>
  </r>
  <r>
    <n v="279"/>
    <s v="ORD-2025-00279"/>
    <x v="190"/>
    <d v="2025-04-14T00:00:00"/>
    <s v="First Class"/>
    <s v="CUST-1050"/>
    <s v="Arjun Malhotra"/>
    <x v="2"/>
    <s v="United States"/>
    <s v="San Francisco"/>
    <x v="0"/>
    <x v="0"/>
    <x v="1"/>
    <s v="Chairs"/>
    <n v="1155.98"/>
    <n v="2"/>
    <n v="0.1"/>
    <n v="208.45"/>
  </r>
  <r>
    <n v="280"/>
    <s v="ORD-2025-00280"/>
    <x v="100"/>
    <d v="2025-12-08T00:00:00"/>
    <s v="Standard Class"/>
    <s v="CUST-1016"/>
    <s v="Simran Kaur"/>
    <x v="2"/>
    <s v="United States"/>
    <s v="Spokane"/>
    <x v="3"/>
    <x v="0"/>
    <x v="0"/>
    <s v="Copiers"/>
    <n v="349.09"/>
    <n v="7"/>
    <n v="0.05"/>
    <n v="-14.73"/>
  </r>
  <r>
    <n v="281"/>
    <s v="ORD-2025-00281"/>
    <x v="191"/>
    <d v="2025-04-29T00:00:00"/>
    <s v="Same Day"/>
    <s v="CUST-1048"/>
    <s v="Kavya Agarwal"/>
    <x v="0"/>
    <s v="United States"/>
    <s v="Charlotte"/>
    <x v="9"/>
    <x v="2"/>
    <x v="1"/>
    <s v="Chairs"/>
    <n v="1358.98"/>
    <n v="2"/>
    <n v="0"/>
    <n v="181.9"/>
  </r>
  <r>
    <n v="282"/>
    <s v="ORD-2025-00282"/>
    <x v="192"/>
    <d v="2025-07-23T00:00:00"/>
    <s v="Same Day"/>
    <s v="CUST-1045"/>
    <s v="Aarav Mehta"/>
    <x v="1"/>
    <s v="United States"/>
    <s v="Columbus"/>
    <x v="5"/>
    <x v="3"/>
    <x v="0"/>
    <s v="Copiers"/>
    <n v="1039.43"/>
    <n v="4"/>
    <n v="0.1"/>
    <n v="-10.81"/>
  </r>
  <r>
    <n v="283"/>
    <s v="ORD-2025-00283"/>
    <x v="193"/>
    <d v="2025-03-07T00:00:00"/>
    <s v="Same Day"/>
    <s v="CUST-1012"/>
    <s v="Meera Joshi"/>
    <x v="1"/>
    <s v="United States"/>
    <s v="Houston"/>
    <x v="2"/>
    <x v="1"/>
    <x v="1"/>
    <s v="Chairs"/>
    <n v="1459.06"/>
    <n v="3"/>
    <n v="0"/>
    <n v="70.3"/>
  </r>
  <r>
    <n v="284"/>
    <s v="ORD-2025-00284"/>
    <x v="194"/>
    <d v="2025-11-04T00:00:00"/>
    <s v="First Class"/>
    <s v="CUST-1033"/>
    <s v="Simran Kaur"/>
    <x v="0"/>
    <s v="United States"/>
    <s v="Pittsburgh"/>
    <x v="8"/>
    <x v="3"/>
    <x v="0"/>
    <s v="Phones"/>
    <n v="174.91"/>
    <n v="9"/>
    <n v="0.1"/>
    <n v="13.68"/>
  </r>
  <r>
    <n v="285"/>
    <s v="ORD-2025-00285"/>
    <x v="195"/>
    <d v="2025-03-03T00:00:00"/>
    <s v="First Class"/>
    <s v="CUST-1034"/>
    <s v="Dev Patel"/>
    <x v="2"/>
    <s v="United States"/>
    <s v="Dallas"/>
    <x v="2"/>
    <x v="1"/>
    <x v="1"/>
    <s v="Bookcases"/>
    <n v="1666.37"/>
    <n v="10"/>
    <n v="0.3"/>
    <n v="-182.72"/>
  </r>
  <r>
    <n v="286"/>
    <s v="ORD-2025-00286"/>
    <x v="196"/>
    <d v="2025-05-20T00:00:00"/>
    <s v="Same Day"/>
    <s v="CUST-1002"/>
    <s v="Arjun Malhotra"/>
    <x v="2"/>
    <s v="United States"/>
    <s v="Miami"/>
    <x v="6"/>
    <x v="2"/>
    <x v="0"/>
    <s v="Copiers"/>
    <n v="86.69"/>
    <n v="5"/>
    <n v="0.1"/>
    <n v="-5.6"/>
  </r>
  <r>
    <n v="287"/>
    <s v="ORD-2025-00287"/>
    <x v="18"/>
    <d v="2025-01-30T00:00:00"/>
    <s v="Same Day"/>
    <s v="CUST-1044"/>
    <s v="Rohan Bansal"/>
    <x v="0"/>
    <s v="United States"/>
    <s v="New York City"/>
    <x v="7"/>
    <x v="3"/>
    <x v="2"/>
    <s v="Binders"/>
    <n v="621.4"/>
    <n v="5"/>
    <n v="0.05"/>
    <n v="-5.83"/>
  </r>
  <r>
    <n v="288"/>
    <s v="ORD-2025-00288"/>
    <x v="197"/>
    <d v="2025-03-13T00:00:00"/>
    <s v="Same Day"/>
    <s v="CUST-1013"/>
    <s v="Dev Patel"/>
    <x v="2"/>
    <s v="United States"/>
    <s v="Orlando"/>
    <x v="6"/>
    <x v="2"/>
    <x v="2"/>
    <s v="Storage"/>
    <n v="1317.26"/>
    <n v="10"/>
    <n v="0.2"/>
    <n v="-130.08000000000001"/>
  </r>
  <r>
    <n v="289"/>
    <s v="ORD-2025-00289"/>
    <x v="157"/>
    <d v="2025-09-25T00:00:00"/>
    <s v="Standard Class"/>
    <s v="CUST-1011"/>
    <s v="Rahul Verma"/>
    <x v="0"/>
    <s v="United States"/>
    <s v="Los Angeles"/>
    <x v="0"/>
    <x v="0"/>
    <x v="0"/>
    <s v="Accessories"/>
    <n v="136.80000000000001"/>
    <n v="9"/>
    <n v="0.1"/>
    <n v="-9.24"/>
  </r>
  <r>
    <n v="290"/>
    <s v="ORD-2025-00290"/>
    <x v="198"/>
    <d v="2025-05-09T00:00:00"/>
    <s v="Same Day"/>
    <s v="CUST-1040"/>
    <s v="Dev Patel"/>
    <x v="0"/>
    <s v="United States"/>
    <s v="Miami"/>
    <x v="6"/>
    <x v="2"/>
    <x v="1"/>
    <s v="Tables"/>
    <n v="1274.25"/>
    <n v="5"/>
    <n v="0.05"/>
    <n v="230.29"/>
  </r>
  <r>
    <n v="291"/>
    <s v="ORD-2025-00291"/>
    <x v="140"/>
    <d v="2025-05-07T00:00:00"/>
    <s v="First Class"/>
    <s v="CUST-1010"/>
    <s v="Meera Joshi"/>
    <x v="2"/>
    <s v="United States"/>
    <s v="Miami"/>
    <x v="6"/>
    <x v="2"/>
    <x v="0"/>
    <s v="Copiers"/>
    <n v="336.1"/>
    <n v="8"/>
    <n v="0.15"/>
    <n v="23.68"/>
  </r>
  <r>
    <n v="292"/>
    <s v="ORD-2025-00292"/>
    <x v="199"/>
    <d v="2025-05-27T00:00:00"/>
    <s v="Second Class"/>
    <s v="CUST-1043"/>
    <s v="Rahul Verma"/>
    <x v="2"/>
    <s v="United States"/>
    <s v="Cleveland"/>
    <x v="5"/>
    <x v="3"/>
    <x v="1"/>
    <s v="Chairs"/>
    <n v="1539.8"/>
    <n v="4"/>
    <n v="0.3"/>
    <n v="-103.98"/>
  </r>
  <r>
    <n v="293"/>
    <s v="ORD-2025-00293"/>
    <x v="104"/>
    <d v="2025-09-21T00:00:00"/>
    <s v="First Class"/>
    <s v="CUST-1038"/>
    <s v="Vansh Kumar"/>
    <x v="2"/>
    <s v="United States"/>
    <s v="San Diego"/>
    <x v="0"/>
    <x v="0"/>
    <x v="2"/>
    <s v="Paper"/>
    <n v="1172.32"/>
    <n v="10"/>
    <n v="0.3"/>
    <n v="-166.51"/>
  </r>
  <r>
    <n v="294"/>
    <s v="ORD-2025-00294"/>
    <x v="200"/>
    <d v="2026-01-02T00:00:00"/>
    <s v="Same Day"/>
    <s v="CUST-1037"/>
    <s v="Ananya Sharma"/>
    <x v="0"/>
    <s v="United States"/>
    <s v="Cleveland"/>
    <x v="5"/>
    <x v="3"/>
    <x v="2"/>
    <s v="Storage"/>
    <n v="837.02"/>
    <n v="4"/>
    <n v="0.1"/>
    <n v="-7.74"/>
  </r>
  <r>
    <n v="295"/>
    <s v="ORD-2025-00295"/>
    <x v="127"/>
    <d v="2025-10-20T00:00:00"/>
    <s v="First Class"/>
    <s v="CUST-1040"/>
    <s v="Neha Kapoor"/>
    <x v="2"/>
    <s v="United States"/>
    <s v="Raleigh"/>
    <x v="9"/>
    <x v="2"/>
    <x v="2"/>
    <s v="Storage"/>
    <n v="1238.26"/>
    <n v="8"/>
    <n v="0"/>
    <n v="21.92"/>
  </r>
  <r>
    <n v="296"/>
    <s v="ORD-2025-00296"/>
    <x v="176"/>
    <d v="2025-12-05T00:00:00"/>
    <s v="Second Class"/>
    <s v="CUST-1046"/>
    <s v="Aarav Mehta"/>
    <x v="1"/>
    <s v="United States"/>
    <s v="Springfield"/>
    <x v="1"/>
    <x v="1"/>
    <x v="1"/>
    <s v="Chairs"/>
    <n v="1621.44"/>
    <n v="10"/>
    <n v="0.1"/>
    <n v="188.39"/>
  </r>
  <r>
    <n v="297"/>
    <s v="ORD-2025-00297"/>
    <x v="156"/>
    <d v="2025-06-04T00:00:00"/>
    <s v="Second Class"/>
    <s v="CUST-1021"/>
    <s v="Ishita Roy"/>
    <x v="1"/>
    <s v="United States"/>
    <s v="Columbus"/>
    <x v="5"/>
    <x v="3"/>
    <x v="2"/>
    <s v="Art"/>
    <n v="1331.38"/>
    <n v="10"/>
    <n v="0.2"/>
    <n v="290.45999999999998"/>
  </r>
  <r>
    <n v="298"/>
    <s v="ORD-2025-00298"/>
    <x v="201"/>
    <d v="2025-12-23T00:00:00"/>
    <s v="Second Class"/>
    <s v="CUST-1018"/>
    <s v="Ananya Sharma"/>
    <x v="2"/>
    <s v="United States"/>
    <s v="Miami"/>
    <x v="6"/>
    <x v="2"/>
    <x v="0"/>
    <s v="Machines"/>
    <n v="923.02"/>
    <n v="3"/>
    <n v="0.3"/>
    <n v="78.61"/>
  </r>
  <r>
    <n v="299"/>
    <s v="ORD-2025-00299"/>
    <x v="202"/>
    <d v="2025-05-18T00:00:00"/>
    <s v="First Class"/>
    <s v="CUST-1026"/>
    <s v="Vansh Kumar"/>
    <x v="2"/>
    <s v="United States"/>
    <s v="Dallas"/>
    <x v="2"/>
    <x v="1"/>
    <x v="0"/>
    <s v="Machines"/>
    <n v="1184.8900000000001"/>
    <n v="4"/>
    <n v="0.05"/>
    <n v="-34.76"/>
  </r>
  <r>
    <n v="300"/>
    <s v="ORD-2025-00300"/>
    <x v="22"/>
    <d v="2025-05-19T00:00:00"/>
    <s v="Standard Class"/>
    <s v="CUST-1030"/>
    <s v="Dev Patel"/>
    <x v="0"/>
    <s v="United States"/>
    <s v="New York City"/>
    <x v="7"/>
    <x v="3"/>
    <x v="2"/>
    <s v="Binders"/>
    <n v="857.56"/>
    <n v="10"/>
    <n v="0.15"/>
    <n v="178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4B740-E58E-46BD-8312-0059040E62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4" firstHeaderRow="0" firstDataRow="1" firstDataCol="0"/>
  <pivotFields count="20">
    <pivotField showAll="0"/>
    <pivotField showAll="0"/>
    <pivotField numFmtId="165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numFmtId="164" showAll="0"/>
    <pivotField showAll="0"/>
    <pivotField numFmtId="9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4" baseField="0" baseItem="1" numFmtId="164"/>
    <dataField name="Sum of Profit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19AF3-DD53-4228-989E-89641AD9B7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20">
    <pivotField showAll="0"/>
    <pivotField showAll="0"/>
    <pivotField numFmtId="165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numFmtId="164" showAll="0"/>
    <pivotField showAll="0"/>
    <pivotField numFmtId="9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4"/>
    <dataField name="Sum of Profit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661A9-C259-4FC3-A01B-322E95038B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0">
    <pivotField showAll="0"/>
    <pivotField showAll="0"/>
    <pivotField numFmtId="165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numFmtId="164" showAll="0"/>
    <pivotField showAll="0"/>
    <pivotField numFmtId="9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4"/>
    <dataField name="Sum of Profit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5221F-0A69-4E47-8284-2BECBF4EFB7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0">
    <pivotField showAll="0"/>
    <pivotField showAll="0"/>
    <pivotField numFmtId="165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65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9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4"/>
    <dataField name="Sum of Profit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1EB01-C815-44CB-A1B6-A84758E598B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20">
    <pivotField showAll="0"/>
    <pivotField showAll="0"/>
    <pivotField axis="axisRow" numFmtId="165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9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C8C5B-083B-41CC-A646-F42EAF3884D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K9" firstHeaderRow="1" firstDataRow="3" firstDataCol="1"/>
  <pivotFields count="20">
    <pivotField showAll="0"/>
    <pivotField showAll="0"/>
    <pivotField numFmtId="165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numFmtId="164" showAll="0"/>
    <pivotField showAll="0"/>
    <pivotField numFmtId="9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14" baseField="0" baseItem="0" numFmtId="164"/>
    <dataField name="Sum of Profit" fld="17" baseField="0" baseItem="0" numFmtId="164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F9839-B0F3-4473-85A9-898C35DFA48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" firstHeaderRow="0" firstDataRow="1" firstDataCol="1"/>
  <pivotFields count="20">
    <pivotField showAll="0"/>
    <pivotField showAll="0"/>
    <pivotField numFmtId="165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6"/>
        <item x="4"/>
        <item x="1"/>
        <item x="7"/>
        <item x="9"/>
        <item x="5"/>
        <item x="8"/>
        <item x="2"/>
        <item x="3"/>
        <item t="default"/>
      </items>
    </pivotField>
    <pivotField showAll="0"/>
    <pivotField showAll="0"/>
    <pivotField showAll="0"/>
    <pivotField dataField="1" numFmtId="164" showAll="0"/>
    <pivotField showAll="0"/>
    <pivotField numFmtId="9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4"/>
    <dataField name="Sum of Profit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C3934E-BA55-4EB1-9D5B-F67CE31B887A}" name="Table4" displayName="Table4" ref="A2:B6" totalsRowShown="0">
  <autoFilter ref="A2:B6" xr:uid="{D1C3934E-BA55-4EB1-9D5B-F67CE31B887A}"/>
  <tableColumns count="2">
    <tableColumn id="1" xr3:uid="{CF9FFFFE-171E-4EAE-8D12-CAAB016E2EAD}" name="Column1"/>
    <tableColumn id="2" xr3:uid="{B679728C-1B8E-48E2-96CB-FF830A59A1E0}" name="Column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J1"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1" width="12.85546875" customWidth="1"/>
    <col min="2" max="2" width="17.28515625" customWidth="1"/>
    <col min="3" max="3" width="20.85546875" style="5" customWidth="1"/>
    <col min="4" max="4" width="19.85546875" style="5" customWidth="1"/>
    <col min="5" max="5" width="17.140625" customWidth="1"/>
    <col min="6" max="6" width="15.85546875" customWidth="1"/>
    <col min="7" max="7" width="21.42578125" customWidth="1"/>
    <col min="8" max="8" width="13.7109375" customWidth="1"/>
    <col min="9" max="9" width="15.140625" customWidth="1"/>
    <col min="10" max="10" width="14.140625" customWidth="1"/>
    <col min="11" max="11" width="12.5703125" customWidth="1"/>
    <col min="12" max="12" width="11.85546875" customWidth="1"/>
    <col min="13" max="13" width="15.28515625" customWidth="1"/>
    <col min="14" max="14" width="18.140625" customWidth="1"/>
    <col min="15" max="15" width="12" customWidth="1"/>
    <col min="16" max="16" width="14" customWidth="1"/>
    <col min="17" max="17" width="14.5703125" customWidth="1"/>
    <col min="18" max="18" width="13.42578125" customWidth="1"/>
  </cols>
  <sheetData>
    <row r="1" spans="1:18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s="5">
        <v>45985</v>
      </c>
      <c r="D2" s="5">
        <v>45986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2">
        <v>455.91</v>
      </c>
      <c r="P2">
        <v>3</v>
      </c>
      <c r="Q2" s="3">
        <v>0.2</v>
      </c>
      <c r="R2" s="2">
        <v>-42.91</v>
      </c>
    </row>
    <row r="3" spans="1:18" x14ac:dyDescent="0.25">
      <c r="A3">
        <v>2</v>
      </c>
      <c r="B3" t="s">
        <v>29</v>
      </c>
      <c r="C3" s="5">
        <v>45705</v>
      </c>
      <c r="D3" s="5">
        <v>45707</v>
      </c>
      <c r="E3" t="s">
        <v>30</v>
      </c>
      <c r="F3" t="s">
        <v>31</v>
      </c>
      <c r="G3" t="s">
        <v>32</v>
      </c>
      <c r="H3" t="s">
        <v>22</v>
      </c>
      <c r="I3" t="s">
        <v>23</v>
      </c>
      <c r="J3" t="s">
        <v>33</v>
      </c>
      <c r="K3" t="s">
        <v>34</v>
      </c>
      <c r="L3" t="s">
        <v>35</v>
      </c>
      <c r="M3" t="s">
        <v>27</v>
      </c>
      <c r="N3" t="s">
        <v>36</v>
      </c>
      <c r="O3" s="2">
        <v>1019.02</v>
      </c>
      <c r="P3">
        <v>9</v>
      </c>
      <c r="Q3" s="3">
        <v>0.1</v>
      </c>
      <c r="R3" s="2">
        <v>-38.57</v>
      </c>
    </row>
    <row r="4" spans="1:18" x14ac:dyDescent="0.25">
      <c r="A4">
        <v>3</v>
      </c>
      <c r="B4" t="s">
        <v>37</v>
      </c>
      <c r="C4" s="5">
        <v>45832</v>
      </c>
      <c r="D4" s="5">
        <v>45835</v>
      </c>
      <c r="E4" t="s">
        <v>30</v>
      </c>
      <c r="F4" t="s">
        <v>38</v>
      </c>
      <c r="G4" t="s">
        <v>39</v>
      </c>
      <c r="H4" t="s">
        <v>22</v>
      </c>
      <c r="I4" t="s">
        <v>23</v>
      </c>
      <c r="J4" t="s">
        <v>40</v>
      </c>
      <c r="K4" t="s">
        <v>41</v>
      </c>
      <c r="L4" t="s">
        <v>35</v>
      </c>
      <c r="M4" t="s">
        <v>42</v>
      </c>
      <c r="N4" t="s">
        <v>43</v>
      </c>
      <c r="O4" s="2">
        <v>201.93</v>
      </c>
      <c r="P4">
        <v>7</v>
      </c>
      <c r="Q4" s="3">
        <v>0</v>
      </c>
      <c r="R4" s="2">
        <v>5.18</v>
      </c>
    </row>
    <row r="5" spans="1:18" x14ac:dyDescent="0.25">
      <c r="A5">
        <v>4</v>
      </c>
      <c r="B5" t="s">
        <v>44</v>
      </c>
      <c r="C5" s="5">
        <v>45893</v>
      </c>
      <c r="D5" s="5">
        <v>45898</v>
      </c>
      <c r="E5" t="s">
        <v>45</v>
      </c>
      <c r="F5" t="s">
        <v>46</v>
      </c>
      <c r="G5" t="s">
        <v>47</v>
      </c>
      <c r="H5" t="s">
        <v>22</v>
      </c>
      <c r="I5" t="s">
        <v>23</v>
      </c>
      <c r="J5" t="s">
        <v>48</v>
      </c>
      <c r="K5" t="s">
        <v>49</v>
      </c>
      <c r="L5" t="s">
        <v>26</v>
      </c>
      <c r="M5" t="s">
        <v>50</v>
      </c>
      <c r="N5" t="s">
        <v>51</v>
      </c>
      <c r="O5" s="2">
        <v>1002.63</v>
      </c>
      <c r="P5">
        <v>10</v>
      </c>
      <c r="Q5" s="3">
        <v>0.3</v>
      </c>
      <c r="R5" s="2">
        <v>-18.48</v>
      </c>
    </row>
    <row r="6" spans="1:18" x14ac:dyDescent="0.25">
      <c r="A6">
        <v>5</v>
      </c>
      <c r="B6" t="s">
        <v>52</v>
      </c>
      <c r="C6" s="5">
        <v>45806</v>
      </c>
      <c r="D6" s="5">
        <v>45807</v>
      </c>
      <c r="E6" t="s">
        <v>45</v>
      </c>
      <c r="F6" t="s">
        <v>53</v>
      </c>
      <c r="G6" t="s">
        <v>39</v>
      </c>
      <c r="H6" t="s">
        <v>54</v>
      </c>
      <c r="I6" t="s">
        <v>23</v>
      </c>
      <c r="J6" t="s">
        <v>55</v>
      </c>
      <c r="K6" t="s">
        <v>34</v>
      </c>
      <c r="L6" t="s">
        <v>35</v>
      </c>
      <c r="M6" t="s">
        <v>42</v>
      </c>
      <c r="N6" t="s">
        <v>56</v>
      </c>
      <c r="O6" s="2">
        <v>514.79</v>
      </c>
      <c r="P6">
        <v>6</v>
      </c>
      <c r="Q6" s="3">
        <v>0</v>
      </c>
      <c r="R6" s="2">
        <v>15.22</v>
      </c>
    </row>
    <row r="7" spans="1:18" x14ac:dyDescent="0.25">
      <c r="A7">
        <v>6</v>
      </c>
      <c r="B7" t="s">
        <v>57</v>
      </c>
      <c r="C7" s="5">
        <v>45969</v>
      </c>
      <c r="D7" s="5">
        <v>45971</v>
      </c>
      <c r="E7" t="s">
        <v>45</v>
      </c>
      <c r="F7" t="s">
        <v>58</v>
      </c>
      <c r="G7" t="s">
        <v>59</v>
      </c>
      <c r="H7" t="s">
        <v>22</v>
      </c>
      <c r="I7" t="s">
        <v>23</v>
      </c>
      <c r="J7" t="s">
        <v>60</v>
      </c>
      <c r="K7" t="s">
        <v>61</v>
      </c>
      <c r="L7" t="s">
        <v>62</v>
      </c>
      <c r="M7" t="s">
        <v>27</v>
      </c>
      <c r="N7" t="s">
        <v>63</v>
      </c>
      <c r="O7" s="2">
        <v>310.86</v>
      </c>
      <c r="P7">
        <v>7</v>
      </c>
      <c r="Q7" s="3">
        <v>0.05</v>
      </c>
      <c r="R7" s="2">
        <v>74.239999999999995</v>
      </c>
    </row>
    <row r="8" spans="1:18" x14ac:dyDescent="0.25">
      <c r="A8">
        <v>7</v>
      </c>
      <c r="B8" t="s">
        <v>64</v>
      </c>
      <c r="C8" s="5">
        <v>45674</v>
      </c>
      <c r="D8" s="5">
        <v>45677</v>
      </c>
      <c r="E8" t="s">
        <v>65</v>
      </c>
      <c r="F8" t="s">
        <v>66</v>
      </c>
      <c r="G8" t="s">
        <v>67</v>
      </c>
      <c r="H8" t="s">
        <v>54</v>
      </c>
      <c r="I8" t="s">
        <v>23</v>
      </c>
      <c r="J8" t="s">
        <v>68</v>
      </c>
      <c r="K8" t="s">
        <v>69</v>
      </c>
      <c r="L8" t="s">
        <v>70</v>
      </c>
      <c r="M8" t="s">
        <v>50</v>
      </c>
      <c r="N8" t="s">
        <v>51</v>
      </c>
      <c r="O8" s="2">
        <v>395.55</v>
      </c>
      <c r="P8">
        <v>10</v>
      </c>
      <c r="Q8" s="3">
        <v>0.2</v>
      </c>
      <c r="R8" s="2">
        <v>-7.86</v>
      </c>
    </row>
    <row r="9" spans="1:18" x14ac:dyDescent="0.25">
      <c r="A9">
        <v>8</v>
      </c>
      <c r="B9" t="s">
        <v>71</v>
      </c>
      <c r="C9" s="5">
        <v>45731</v>
      </c>
      <c r="D9" s="5">
        <v>45734</v>
      </c>
      <c r="E9" t="s">
        <v>45</v>
      </c>
      <c r="F9" t="s">
        <v>72</v>
      </c>
      <c r="G9" t="s">
        <v>73</v>
      </c>
      <c r="H9" t="s">
        <v>74</v>
      </c>
      <c r="I9" t="s">
        <v>23</v>
      </c>
      <c r="J9" t="s">
        <v>75</v>
      </c>
      <c r="K9" t="s">
        <v>41</v>
      </c>
      <c r="L9" t="s">
        <v>35</v>
      </c>
      <c r="M9" t="s">
        <v>42</v>
      </c>
      <c r="N9" t="s">
        <v>43</v>
      </c>
      <c r="O9" s="2">
        <v>1349.68</v>
      </c>
      <c r="P9">
        <v>7</v>
      </c>
      <c r="Q9" s="3">
        <v>0.15</v>
      </c>
      <c r="R9" s="2">
        <v>23.34</v>
      </c>
    </row>
    <row r="10" spans="1:18" x14ac:dyDescent="0.25">
      <c r="A10">
        <v>9</v>
      </c>
      <c r="B10" t="s">
        <v>76</v>
      </c>
      <c r="C10" s="5">
        <v>45682</v>
      </c>
      <c r="D10" s="5">
        <v>45683</v>
      </c>
      <c r="E10" t="s">
        <v>65</v>
      </c>
      <c r="F10" t="s">
        <v>38</v>
      </c>
      <c r="G10" t="s">
        <v>77</v>
      </c>
      <c r="H10" t="s">
        <v>54</v>
      </c>
      <c r="I10" t="s">
        <v>23</v>
      </c>
      <c r="J10" t="s">
        <v>78</v>
      </c>
      <c r="K10" t="s">
        <v>41</v>
      </c>
      <c r="L10" t="s">
        <v>35</v>
      </c>
      <c r="M10" t="s">
        <v>27</v>
      </c>
      <c r="N10" t="s">
        <v>63</v>
      </c>
      <c r="O10" s="2">
        <v>1429.9</v>
      </c>
      <c r="P10">
        <v>7</v>
      </c>
      <c r="Q10" s="3">
        <v>0.15</v>
      </c>
      <c r="R10" s="2">
        <v>-143.37</v>
      </c>
    </row>
    <row r="11" spans="1:18" x14ac:dyDescent="0.25">
      <c r="A11">
        <v>10</v>
      </c>
      <c r="B11" t="s">
        <v>79</v>
      </c>
      <c r="C11" s="5">
        <v>45941</v>
      </c>
      <c r="D11" s="5">
        <v>45942</v>
      </c>
      <c r="E11" t="s">
        <v>45</v>
      </c>
      <c r="F11" t="s">
        <v>80</v>
      </c>
      <c r="G11" t="s">
        <v>81</v>
      </c>
      <c r="H11" t="s">
        <v>54</v>
      </c>
      <c r="I11" t="s">
        <v>23</v>
      </c>
      <c r="J11" t="s">
        <v>82</v>
      </c>
      <c r="K11" t="s">
        <v>49</v>
      </c>
      <c r="L11" t="s">
        <v>26</v>
      </c>
      <c r="M11" t="s">
        <v>27</v>
      </c>
      <c r="N11" t="s">
        <v>28</v>
      </c>
      <c r="O11" s="2">
        <v>1388.11</v>
      </c>
      <c r="P11">
        <v>6</v>
      </c>
      <c r="Q11" s="3">
        <v>0</v>
      </c>
      <c r="R11" s="2">
        <v>3.78</v>
      </c>
    </row>
    <row r="12" spans="1:18" x14ac:dyDescent="0.25">
      <c r="A12">
        <v>11</v>
      </c>
      <c r="B12" t="s">
        <v>83</v>
      </c>
      <c r="C12" s="5">
        <v>45914</v>
      </c>
      <c r="D12" s="5">
        <v>45916</v>
      </c>
      <c r="E12" t="s">
        <v>30</v>
      </c>
      <c r="F12" t="s">
        <v>84</v>
      </c>
      <c r="G12" t="s">
        <v>85</v>
      </c>
      <c r="H12" t="s">
        <v>54</v>
      </c>
      <c r="I12" t="s">
        <v>23</v>
      </c>
      <c r="J12" t="s">
        <v>60</v>
      </c>
      <c r="K12" t="s">
        <v>61</v>
      </c>
      <c r="L12" t="s">
        <v>62</v>
      </c>
      <c r="M12" t="s">
        <v>42</v>
      </c>
      <c r="N12" t="s">
        <v>43</v>
      </c>
      <c r="O12" s="2">
        <v>1518.17</v>
      </c>
      <c r="P12">
        <v>9</v>
      </c>
      <c r="Q12" s="3">
        <v>0.15</v>
      </c>
      <c r="R12" s="2">
        <v>-80.28</v>
      </c>
    </row>
    <row r="13" spans="1:18" x14ac:dyDescent="0.25">
      <c r="A13">
        <v>12</v>
      </c>
      <c r="B13" t="s">
        <v>86</v>
      </c>
      <c r="C13" s="5">
        <v>45964</v>
      </c>
      <c r="D13" s="5">
        <v>45967</v>
      </c>
      <c r="E13" t="s">
        <v>19</v>
      </c>
      <c r="F13" t="s">
        <v>87</v>
      </c>
      <c r="G13" t="s">
        <v>88</v>
      </c>
      <c r="H13" t="s">
        <v>74</v>
      </c>
      <c r="I13" t="s">
        <v>23</v>
      </c>
      <c r="J13" t="s">
        <v>89</v>
      </c>
      <c r="K13" t="s">
        <v>90</v>
      </c>
      <c r="L13" t="s">
        <v>62</v>
      </c>
      <c r="M13" t="s">
        <v>42</v>
      </c>
      <c r="N13" t="s">
        <v>91</v>
      </c>
      <c r="O13" s="2">
        <v>1673.8</v>
      </c>
      <c r="P13">
        <v>5</v>
      </c>
      <c r="Q13" s="3">
        <v>0</v>
      </c>
      <c r="R13" s="2">
        <v>-133.44999999999999</v>
      </c>
    </row>
    <row r="14" spans="1:18" x14ac:dyDescent="0.25">
      <c r="A14">
        <v>13</v>
      </c>
      <c r="B14" t="s">
        <v>92</v>
      </c>
      <c r="C14" s="5">
        <v>45930</v>
      </c>
      <c r="D14" s="5">
        <v>45932</v>
      </c>
      <c r="E14" t="s">
        <v>65</v>
      </c>
      <c r="F14" t="s">
        <v>93</v>
      </c>
      <c r="G14" t="s">
        <v>67</v>
      </c>
      <c r="H14" t="s">
        <v>54</v>
      </c>
      <c r="I14" t="s">
        <v>23</v>
      </c>
      <c r="J14" t="s">
        <v>40</v>
      </c>
      <c r="K14" t="s">
        <v>41</v>
      </c>
      <c r="L14" t="s">
        <v>35</v>
      </c>
      <c r="M14" t="s">
        <v>27</v>
      </c>
      <c r="N14" t="s">
        <v>94</v>
      </c>
      <c r="O14" s="2">
        <v>1705.39</v>
      </c>
      <c r="P14">
        <v>3</v>
      </c>
      <c r="Q14" s="3">
        <v>0.05</v>
      </c>
      <c r="R14" s="2">
        <v>131.63</v>
      </c>
    </row>
    <row r="15" spans="1:18" x14ac:dyDescent="0.25">
      <c r="A15">
        <v>14</v>
      </c>
      <c r="B15" t="s">
        <v>95</v>
      </c>
      <c r="C15" s="5">
        <v>46011</v>
      </c>
      <c r="D15" s="5">
        <v>46013</v>
      </c>
      <c r="E15" t="s">
        <v>45</v>
      </c>
      <c r="F15" t="s">
        <v>96</v>
      </c>
      <c r="G15" t="s">
        <v>47</v>
      </c>
      <c r="H15" t="s">
        <v>74</v>
      </c>
      <c r="I15" t="s">
        <v>23</v>
      </c>
      <c r="J15" t="s">
        <v>97</v>
      </c>
      <c r="K15" t="s">
        <v>98</v>
      </c>
      <c r="L15" t="s">
        <v>70</v>
      </c>
      <c r="M15" t="s">
        <v>50</v>
      </c>
      <c r="N15" t="s">
        <v>99</v>
      </c>
      <c r="O15" s="2">
        <v>1176.78</v>
      </c>
      <c r="P15">
        <v>8</v>
      </c>
      <c r="Q15" s="3">
        <v>0.15</v>
      </c>
      <c r="R15" s="2">
        <v>41.8</v>
      </c>
    </row>
    <row r="16" spans="1:18" x14ac:dyDescent="0.25">
      <c r="A16">
        <v>15</v>
      </c>
      <c r="B16" t="s">
        <v>100</v>
      </c>
      <c r="C16" s="5">
        <v>45959</v>
      </c>
      <c r="D16" s="5">
        <v>45964</v>
      </c>
      <c r="E16" t="s">
        <v>19</v>
      </c>
      <c r="F16" t="s">
        <v>101</v>
      </c>
      <c r="G16" t="s">
        <v>47</v>
      </c>
      <c r="H16" t="s">
        <v>54</v>
      </c>
      <c r="I16" t="s">
        <v>23</v>
      </c>
      <c r="J16" t="s">
        <v>55</v>
      </c>
      <c r="K16" t="s">
        <v>34</v>
      </c>
      <c r="L16" t="s">
        <v>35</v>
      </c>
      <c r="M16" t="s">
        <v>27</v>
      </c>
      <c r="N16" t="s">
        <v>63</v>
      </c>
      <c r="O16" s="2">
        <v>32.799999999999997</v>
      </c>
      <c r="P16">
        <v>1</v>
      </c>
      <c r="Q16" s="3">
        <v>0</v>
      </c>
      <c r="R16" s="2">
        <v>-2.5099999999999998</v>
      </c>
    </row>
    <row r="17" spans="1:18" x14ac:dyDescent="0.25">
      <c r="A17">
        <v>16</v>
      </c>
      <c r="B17" t="s">
        <v>102</v>
      </c>
      <c r="C17" s="5">
        <v>45800</v>
      </c>
      <c r="D17" s="5">
        <v>45804</v>
      </c>
      <c r="E17" t="s">
        <v>65</v>
      </c>
      <c r="F17" t="s">
        <v>103</v>
      </c>
      <c r="G17" t="s">
        <v>104</v>
      </c>
      <c r="H17" t="s">
        <v>22</v>
      </c>
      <c r="I17" t="s">
        <v>23</v>
      </c>
      <c r="J17" t="s">
        <v>55</v>
      </c>
      <c r="K17" t="s">
        <v>34</v>
      </c>
      <c r="L17" t="s">
        <v>35</v>
      </c>
      <c r="M17" t="s">
        <v>27</v>
      </c>
      <c r="N17" t="s">
        <v>63</v>
      </c>
      <c r="O17" s="2">
        <v>1307.57</v>
      </c>
      <c r="P17">
        <v>10</v>
      </c>
      <c r="Q17" s="3">
        <v>0.15</v>
      </c>
      <c r="R17" s="2">
        <v>56.14</v>
      </c>
    </row>
    <row r="18" spans="1:18" x14ac:dyDescent="0.25">
      <c r="A18">
        <v>17</v>
      </c>
      <c r="B18" t="s">
        <v>105</v>
      </c>
      <c r="C18" s="5">
        <v>45995</v>
      </c>
      <c r="D18" s="5">
        <v>45999</v>
      </c>
      <c r="E18" t="s">
        <v>19</v>
      </c>
      <c r="F18" t="s">
        <v>106</v>
      </c>
      <c r="G18" t="s">
        <v>21</v>
      </c>
      <c r="H18" t="s">
        <v>54</v>
      </c>
      <c r="I18" t="s">
        <v>23</v>
      </c>
      <c r="J18" t="s">
        <v>107</v>
      </c>
      <c r="K18" t="s">
        <v>108</v>
      </c>
      <c r="L18" t="s">
        <v>70</v>
      </c>
      <c r="M18" t="s">
        <v>50</v>
      </c>
      <c r="N18" t="s">
        <v>109</v>
      </c>
      <c r="O18" s="2">
        <v>851.3</v>
      </c>
      <c r="P18">
        <v>1</v>
      </c>
      <c r="Q18" s="3">
        <v>0.2</v>
      </c>
      <c r="R18" s="2">
        <v>84.03</v>
      </c>
    </row>
    <row r="19" spans="1:18" x14ac:dyDescent="0.25">
      <c r="A19">
        <v>18</v>
      </c>
      <c r="B19" t="s">
        <v>110</v>
      </c>
      <c r="C19" s="5">
        <v>45713</v>
      </c>
      <c r="D19" s="5">
        <v>45715</v>
      </c>
      <c r="E19" t="s">
        <v>19</v>
      </c>
      <c r="F19" t="s">
        <v>111</v>
      </c>
      <c r="G19" t="s">
        <v>32</v>
      </c>
      <c r="H19" t="s">
        <v>54</v>
      </c>
      <c r="I19" t="s">
        <v>23</v>
      </c>
      <c r="J19" t="s">
        <v>55</v>
      </c>
      <c r="K19" t="s">
        <v>34</v>
      </c>
      <c r="L19" t="s">
        <v>35</v>
      </c>
      <c r="M19" t="s">
        <v>42</v>
      </c>
      <c r="N19" t="s">
        <v>56</v>
      </c>
      <c r="O19" s="2">
        <v>269.52</v>
      </c>
      <c r="P19">
        <v>3</v>
      </c>
      <c r="Q19" s="3">
        <v>0.05</v>
      </c>
      <c r="R19" s="2">
        <v>14.67</v>
      </c>
    </row>
    <row r="20" spans="1:18" x14ac:dyDescent="0.25">
      <c r="A20">
        <v>19</v>
      </c>
      <c r="B20" t="s">
        <v>112</v>
      </c>
      <c r="C20" s="5">
        <v>45683</v>
      </c>
      <c r="D20" s="5">
        <v>45688</v>
      </c>
      <c r="E20" t="s">
        <v>65</v>
      </c>
      <c r="F20" t="s">
        <v>106</v>
      </c>
      <c r="G20" t="s">
        <v>85</v>
      </c>
      <c r="H20" t="s">
        <v>74</v>
      </c>
      <c r="I20" t="s">
        <v>23</v>
      </c>
      <c r="J20" t="s">
        <v>24</v>
      </c>
      <c r="K20" t="s">
        <v>25</v>
      </c>
      <c r="L20" t="s">
        <v>26</v>
      </c>
      <c r="M20" t="s">
        <v>42</v>
      </c>
      <c r="N20" t="s">
        <v>113</v>
      </c>
      <c r="O20" s="2">
        <v>316.02999999999997</v>
      </c>
      <c r="P20">
        <v>8</v>
      </c>
      <c r="Q20" s="3">
        <v>0.1</v>
      </c>
      <c r="R20" s="2">
        <v>-12.7</v>
      </c>
    </row>
    <row r="21" spans="1:18" x14ac:dyDescent="0.25">
      <c r="A21">
        <v>20</v>
      </c>
      <c r="B21" t="s">
        <v>114</v>
      </c>
      <c r="C21" s="5">
        <v>45857</v>
      </c>
      <c r="D21" s="5">
        <v>45860</v>
      </c>
      <c r="E21" t="s">
        <v>45</v>
      </c>
      <c r="F21" t="s">
        <v>115</v>
      </c>
      <c r="G21" t="s">
        <v>39</v>
      </c>
      <c r="H21" t="s">
        <v>22</v>
      </c>
      <c r="I21" t="s">
        <v>23</v>
      </c>
      <c r="J21" t="s">
        <v>89</v>
      </c>
      <c r="K21" t="s">
        <v>90</v>
      </c>
      <c r="L21" t="s">
        <v>62</v>
      </c>
      <c r="M21" t="s">
        <v>50</v>
      </c>
      <c r="N21" t="s">
        <v>109</v>
      </c>
      <c r="O21" s="2">
        <v>1259.93</v>
      </c>
      <c r="P21">
        <v>9</v>
      </c>
      <c r="Q21" s="3">
        <v>0.2</v>
      </c>
      <c r="R21" s="2">
        <v>153.01</v>
      </c>
    </row>
    <row r="22" spans="1:18" x14ac:dyDescent="0.25">
      <c r="A22">
        <v>21</v>
      </c>
      <c r="B22" t="s">
        <v>116</v>
      </c>
      <c r="C22" s="5">
        <v>45954</v>
      </c>
      <c r="D22" s="5">
        <v>45959</v>
      </c>
      <c r="E22" t="s">
        <v>45</v>
      </c>
      <c r="F22" t="s">
        <v>106</v>
      </c>
      <c r="G22" t="s">
        <v>73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s="2">
        <v>121.75</v>
      </c>
      <c r="P22">
        <v>10</v>
      </c>
      <c r="Q22" s="3">
        <v>0.1</v>
      </c>
      <c r="R22" s="2">
        <v>7.43</v>
      </c>
    </row>
    <row r="23" spans="1:18" x14ac:dyDescent="0.25">
      <c r="A23">
        <v>22</v>
      </c>
      <c r="B23" t="s">
        <v>117</v>
      </c>
      <c r="C23" s="5">
        <v>45693</v>
      </c>
      <c r="D23" s="5">
        <v>45698</v>
      </c>
      <c r="E23" t="s">
        <v>19</v>
      </c>
      <c r="F23" t="s">
        <v>118</v>
      </c>
      <c r="G23" t="s">
        <v>47</v>
      </c>
      <c r="H23" t="s">
        <v>74</v>
      </c>
      <c r="I23" t="s">
        <v>23</v>
      </c>
      <c r="J23" t="s">
        <v>82</v>
      </c>
      <c r="K23" t="s">
        <v>49</v>
      </c>
      <c r="L23" t="s">
        <v>26</v>
      </c>
      <c r="M23" t="s">
        <v>27</v>
      </c>
      <c r="N23" t="s">
        <v>63</v>
      </c>
      <c r="O23" s="2">
        <v>738.72</v>
      </c>
      <c r="P23">
        <v>10</v>
      </c>
      <c r="Q23" s="3">
        <v>0</v>
      </c>
      <c r="R23" s="2">
        <v>75.81</v>
      </c>
    </row>
    <row r="24" spans="1:18" x14ac:dyDescent="0.25">
      <c r="A24">
        <v>23</v>
      </c>
      <c r="B24" t="s">
        <v>119</v>
      </c>
      <c r="C24" s="5">
        <v>45791</v>
      </c>
      <c r="D24" s="5">
        <v>45793</v>
      </c>
      <c r="E24" t="s">
        <v>19</v>
      </c>
      <c r="F24" t="s">
        <v>31</v>
      </c>
      <c r="G24" t="s">
        <v>77</v>
      </c>
      <c r="H24" t="s">
        <v>54</v>
      </c>
      <c r="I24" t="s">
        <v>23</v>
      </c>
      <c r="J24" t="s">
        <v>120</v>
      </c>
      <c r="K24" t="s">
        <v>108</v>
      </c>
      <c r="L24" t="s">
        <v>70</v>
      </c>
      <c r="M24" t="s">
        <v>42</v>
      </c>
      <c r="N24" t="s">
        <v>43</v>
      </c>
      <c r="O24" s="2">
        <v>724.5</v>
      </c>
      <c r="P24">
        <v>5</v>
      </c>
      <c r="Q24" s="3">
        <v>0.1</v>
      </c>
      <c r="R24" s="2">
        <v>-3.14</v>
      </c>
    </row>
    <row r="25" spans="1:18" x14ac:dyDescent="0.25">
      <c r="A25">
        <v>24</v>
      </c>
      <c r="B25" t="s">
        <v>121</v>
      </c>
      <c r="C25" s="5">
        <v>45695</v>
      </c>
      <c r="D25" s="5">
        <v>45700</v>
      </c>
      <c r="E25" t="s">
        <v>30</v>
      </c>
      <c r="F25" t="s">
        <v>122</v>
      </c>
      <c r="G25" t="s">
        <v>85</v>
      </c>
      <c r="H25" t="s">
        <v>74</v>
      </c>
      <c r="I25" t="s">
        <v>23</v>
      </c>
      <c r="J25" t="s">
        <v>33</v>
      </c>
      <c r="K25" t="s">
        <v>34</v>
      </c>
      <c r="L25" t="s">
        <v>35</v>
      </c>
      <c r="M25" t="s">
        <v>27</v>
      </c>
      <c r="N25" t="s">
        <v>28</v>
      </c>
      <c r="O25" s="2">
        <v>255.77</v>
      </c>
      <c r="P25">
        <v>6</v>
      </c>
      <c r="Q25" s="3">
        <v>0</v>
      </c>
      <c r="R25" s="2">
        <v>53.13</v>
      </c>
    </row>
    <row r="26" spans="1:18" x14ac:dyDescent="0.25">
      <c r="A26">
        <v>25</v>
      </c>
      <c r="B26" t="s">
        <v>123</v>
      </c>
      <c r="C26" s="5">
        <v>45971</v>
      </c>
      <c r="D26" s="5">
        <v>45976</v>
      </c>
      <c r="E26" t="s">
        <v>19</v>
      </c>
      <c r="F26" t="s">
        <v>124</v>
      </c>
      <c r="G26" t="s">
        <v>73</v>
      </c>
      <c r="H26" t="s">
        <v>22</v>
      </c>
      <c r="I26" t="s">
        <v>23</v>
      </c>
      <c r="J26" t="s">
        <v>125</v>
      </c>
      <c r="K26" t="s">
        <v>25</v>
      </c>
      <c r="L26" t="s">
        <v>26</v>
      </c>
      <c r="M26" t="s">
        <v>27</v>
      </c>
      <c r="N26" t="s">
        <v>28</v>
      </c>
      <c r="O26" s="2">
        <v>1678.53</v>
      </c>
      <c r="P26">
        <v>2</v>
      </c>
      <c r="Q26" s="3">
        <v>0</v>
      </c>
      <c r="R26" s="2">
        <v>-12.48</v>
      </c>
    </row>
    <row r="27" spans="1:18" x14ac:dyDescent="0.25">
      <c r="A27">
        <v>26</v>
      </c>
      <c r="B27" t="s">
        <v>126</v>
      </c>
      <c r="C27" s="5">
        <v>45802</v>
      </c>
      <c r="D27" s="5">
        <v>45807</v>
      </c>
      <c r="E27" t="s">
        <v>19</v>
      </c>
      <c r="F27" t="s">
        <v>87</v>
      </c>
      <c r="G27" t="s">
        <v>127</v>
      </c>
      <c r="H27" t="s">
        <v>74</v>
      </c>
      <c r="I27" t="s">
        <v>23</v>
      </c>
      <c r="J27" t="s">
        <v>33</v>
      </c>
      <c r="K27" t="s">
        <v>34</v>
      </c>
      <c r="L27" t="s">
        <v>35</v>
      </c>
      <c r="M27" t="s">
        <v>27</v>
      </c>
      <c r="N27" t="s">
        <v>28</v>
      </c>
      <c r="O27" s="2">
        <v>382.4</v>
      </c>
      <c r="P27">
        <v>5</v>
      </c>
      <c r="Q27" s="3">
        <v>0.15</v>
      </c>
      <c r="R27" s="2">
        <v>18.54</v>
      </c>
    </row>
    <row r="28" spans="1:18" x14ac:dyDescent="0.25">
      <c r="A28">
        <v>27</v>
      </c>
      <c r="B28" t="s">
        <v>128</v>
      </c>
      <c r="C28" s="5">
        <v>45680</v>
      </c>
      <c r="D28" s="5">
        <v>45681</v>
      </c>
      <c r="E28" t="s">
        <v>19</v>
      </c>
      <c r="F28" t="s">
        <v>129</v>
      </c>
      <c r="G28" t="s">
        <v>47</v>
      </c>
      <c r="H28" t="s">
        <v>54</v>
      </c>
      <c r="I28" t="s">
        <v>23</v>
      </c>
      <c r="J28" t="s">
        <v>120</v>
      </c>
      <c r="K28" t="s">
        <v>108</v>
      </c>
      <c r="L28" t="s">
        <v>70</v>
      </c>
      <c r="M28" t="s">
        <v>42</v>
      </c>
      <c r="N28" t="s">
        <v>43</v>
      </c>
      <c r="O28" s="2">
        <v>307.62</v>
      </c>
      <c r="P28">
        <v>8</v>
      </c>
      <c r="Q28" s="3">
        <v>0.15</v>
      </c>
      <c r="R28" s="2">
        <v>38.29</v>
      </c>
    </row>
    <row r="29" spans="1:18" x14ac:dyDescent="0.25">
      <c r="A29">
        <v>28</v>
      </c>
      <c r="B29" t="s">
        <v>130</v>
      </c>
      <c r="C29" s="5">
        <v>45937</v>
      </c>
      <c r="D29" s="5">
        <v>45938</v>
      </c>
      <c r="E29" t="s">
        <v>19</v>
      </c>
      <c r="F29" t="s">
        <v>131</v>
      </c>
      <c r="G29" t="s">
        <v>104</v>
      </c>
      <c r="H29" t="s">
        <v>54</v>
      </c>
      <c r="I29" t="s">
        <v>23</v>
      </c>
      <c r="J29" t="s">
        <v>120</v>
      </c>
      <c r="K29" t="s">
        <v>108</v>
      </c>
      <c r="L29" t="s">
        <v>70</v>
      </c>
      <c r="M29" t="s">
        <v>27</v>
      </c>
      <c r="N29" t="s">
        <v>63</v>
      </c>
      <c r="O29" s="2">
        <v>785.02</v>
      </c>
      <c r="P29">
        <v>1</v>
      </c>
      <c r="Q29" s="3">
        <v>0.05</v>
      </c>
      <c r="R29" s="2">
        <v>15.8</v>
      </c>
    </row>
    <row r="30" spans="1:18" x14ac:dyDescent="0.25">
      <c r="A30">
        <v>29</v>
      </c>
      <c r="B30" t="s">
        <v>132</v>
      </c>
      <c r="C30" s="5">
        <v>45999</v>
      </c>
      <c r="D30" s="5">
        <v>46000</v>
      </c>
      <c r="E30" t="s">
        <v>45</v>
      </c>
      <c r="F30" t="s">
        <v>103</v>
      </c>
      <c r="G30" t="s">
        <v>81</v>
      </c>
      <c r="H30" t="s">
        <v>22</v>
      </c>
      <c r="I30" t="s">
        <v>23</v>
      </c>
      <c r="J30" t="s">
        <v>107</v>
      </c>
      <c r="K30" t="s">
        <v>108</v>
      </c>
      <c r="L30" t="s">
        <v>70</v>
      </c>
      <c r="M30" t="s">
        <v>27</v>
      </c>
      <c r="N30" t="s">
        <v>94</v>
      </c>
      <c r="O30" s="2">
        <v>1753.43</v>
      </c>
      <c r="P30">
        <v>3</v>
      </c>
      <c r="Q30" s="3">
        <v>0</v>
      </c>
      <c r="R30" s="2">
        <v>355.27</v>
      </c>
    </row>
    <row r="31" spans="1:18" x14ac:dyDescent="0.25">
      <c r="A31">
        <v>30</v>
      </c>
      <c r="B31" t="s">
        <v>133</v>
      </c>
      <c r="C31" s="5">
        <v>45868</v>
      </c>
      <c r="D31" s="5">
        <v>45870</v>
      </c>
      <c r="E31" t="s">
        <v>45</v>
      </c>
      <c r="F31" t="s">
        <v>80</v>
      </c>
      <c r="G31" t="s">
        <v>59</v>
      </c>
      <c r="H31" t="s">
        <v>74</v>
      </c>
      <c r="I31" t="s">
        <v>23</v>
      </c>
      <c r="J31" t="s">
        <v>97</v>
      </c>
      <c r="K31" t="s">
        <v>98</v>
      </c>
      <c r="L31" t="s">
        <v>70</v>
      </c>
      <c r="M31" t="s">
        <v>42</v>
      </c>
      <c r="N31" t="s">
        <v>91</v>
      </c>
      <c r="O31" s="2">
        <v>700.92</v>
      </c>
      <c r="P31">
        <v>1</v>
      </c>
      <c r="Q31" s="3">
        <v>0.3</v>
      </c>
      <c r="R31" s="2">
        <v>13.84</v>
      </c>
    </row>
    <row r="32" spans="1:18" x14ac:dyDescent="0.25">
      <c r="A32">
        <v>31</v>
      </c>
      <c r="B32" t="s">
        <v>134</v>
      </c>
      <c r="C32" s="5">
        <v>45772</v>
      </c>
      <c r="D32" s="5">
        <v>45773</v>
      </c>
      <c r="E32" t="s">
        <v>65</v>
      </c>
      <c r="F32" t="s">
        <v>58</v>
      </c>
      <c r="G32" t="s">
        <v>135</v>
      </c>
      <c r="H32" t="s">
        <v>54</v>
      </c>
      <c r="I32" t="s">
        <v>23</v>
      </c>
      <c r="J32" t="s">
        <v>33</v>
      </c>
      <c r="K32" t="s">
        <v>34</v>
      </c>
      <c r="L32" t="s">
        <v>35</v>
      </c>
      <c r="M32" t="s">
        <v>50</v>
      </c>
      <c r="N32" t="s">
        <v>136</v>
      </c>
      <c r="O32" s="2">
        <v>515.91</v>
      </c>
      <c r="P32">
        <v>2</v>
      </c>
      <c r="Q32" s="3">
        <v>0.3</v>
      </c>
      <c r="R32" s="2">
        <v>-24.41</v>
      </c>
    </row>
    <row r="33" spans="1:18" x14ac:dyDescent="0.25">
      <c r="A33">
        <v>32</v>
      </c>
      <c r="B33" t="s">
        <v>137</v>
      </c>
      <c r="C33" s="5">
        <v>45672</v>
      </c>
      <c r="D33" s="5">
        <v>45673</v>
      </c>
      <c r="E33" t="s">
        <v>30</v>
      </c>
      <c r="F33" t="s">
        <v>138</v>
      </c>
      <c r="G33" t="s">
        <v>139</v>
      </c>
      <c r="H33" t="s">
        <v>54</v>
      </c>
      <c r="I33" t="s">
        <v>23</v>
      </c>
      <c r="J33" t="s">
        <v>97</v>
      </c>
      <c r="K33" t="s">
        <v>98</v>
      </c>
      <c r="L33" t="s">
        <v>70</v>
      </c>
      <c r="M33" t="s">
        <v>42</v>
      </c>
      <c r="N33" t="s">
        <v>43</v>
      </c>
      <c r="O33" s="2">
        <v>88.1</v>
      </c>
      <c r="P33">
        <v>10</v>
      </c>
      <c r="Q33" s="3">
        <v>0.1</v>
      </c>
      <c r="R33" s="2">
        <v>0.53</v>
      </c>
    </row>
    <row r="34" spans="1:18" x14ac:dyDescent="0.25">
      <c r="A34">
        <v>33</v>
      </c>
      <c r="B34" t="s">
        <v>140</v>
      </c>
      <c r="C34" s="5">
        <v>45855</v>
      </c>
      <c r="D34" s="5">
        <v>45860</v>
      </c>
      <c r="E34" t="s">
        <v>45</v>
      </c>
      <c r="F34" t="s">
        <v>141</v>
      </c>
      <c r="G34" t="s">
        <v>21</v>
      </c>
      <c r="H34" t="s">
        <v>22</v>
      </c>
      <c r="I34" t="s">
        <v>23</v>
      </c>
      <c r="J34" t="s">
        <v>33</v>
      </c>
      <c r="K34" t="s">
        <v>34</v>
      </c>
      <c r="L34" t="s">
        <v>35</v>
      </c>
      <c r="M34" t="s">
        <v>50</v>
      </c>
      <c r="N34" t="s">
        <v>51</v>
      </c>
      <c r="O34" s="2">
        <v>1281.6400000000001</v>
      </c>
      <c r="P34">
        <v>1</v>
      </c>
      <c r="Q34" s="3">
        <v>0.15</v>
      </c>
      <c r="R34" s="2">
        <v>258.19</v>
      </c>
    </row>
    <row r="35" spans="1:18" x14ac:dyDescent="0.25">
      <c r="A35">
        <v>34</v>
      </c>
      <c r="B35" t="s">
        <v>142</v>
      </c>
      <c r="C35" s="5">
        <v>45977</v>
      </c>
      <c r="D35" s="5">
        <v>45980</v>
      </c>
      <c r="E35" t="s">
        <v>30</v>
      </c>
      <c r="F35" t="s">
        <v>143</v>
      </c>
      <c r="G35" t="s">
        <v>85</v>
      </c>
      <c r="H35" t="s">
        <v>22</v>
      </c>
      <c r="I35" t="s">
        <v>23</v>
      </c>
      <c r="J35" t="s">
        <v>82</v>
      </c>
      <c r="K35" t="s">
        <v>49</v>
      </c>
      <c r="L35" t="s">
        <v>26</v>
      </c>
      <c r="M35" t="s">
        <v>27</v>
      </c>
      <c r="N35" t="s">
        <v>28</v>
      </c>
      <c r="O35" s="2">
        <v>922.68</v>
      </c>
      <c r="P35">
        <v>7</v>
      </c>
      <c r="Q35" s="3">
        <v>0.05</v>
      </c>
      <c r="R35" s="2">
        <v>30.76</v>
      </c>
    </row>
    <row r="36" spans="1:18" x14ac:dyDescent="0.25">
      <c r="A36">
        <v>35</v>
      </c>
      <c r="B36" t="s">
        <v>144</v>
      </c>
      <c r="C36" s="5">
        <v>45998</v>
      </c>
      <c r="D36" s="5">
        <v>46002</v>
      </c>
      <c r="E36" t="s">
        <v>65</v>
      </c>
      <c r="F36" t="s">
        <v>145</v>
      </c>
      <c r="G36" t="s">
        <v>139</v>
      </c>
      <c r="H36" t="s">
        <v>54</v>
      </c>
      <c r="I36" t="s">
        <v>23</v>
      </c>
      <c r="J36" t="s">
        <v>40</v>
      </c>
      <c r="K36" t="s">
        <v>41</v>
      </c>
      <c r="L36" t="s">
        <v>35</v>
      </c>
      <c r="M36" t="s">
        <v>27</v>
      </c>
      <c r="N36" t="s">
        <v>28</v>
      </c>
      <c r="O36" s="2">
        <v>742.81</v>
      </c>
      <c r="P36">
        <v>1</v>
      </c>
      <c r="Q36" s="3">
        <v>0.05</v>
      </c>
      <c r="R36" s="2">
        <v>-5.26</v>
      </c>
    </row>
    <row r="37" spans="1:18" x14ac:dyDescent="0.25">
      <c r="A37">
        <v>36</v>
      </c>
      <c r="B37" t="s">
        <v>146</v>
      </c>
      <c r="C37" s="5">
        <v>45822</v>
      </c>
      <c r="D37" s="5">
        <v>45826</v>
      </c>
      <c r="E37" t="s">
        <v>45</v>
      </c>
      <c r="F37" t="s">
        <v>53</v>
      </c>
      <c r="G37" t="s">
        <v>47</v>
      </c>
      <c r="H37" t="s">
        <v>74</v>
      </c>
      <c r="I37" t="s">
        <v>23</v>
      </c>
      <c r="J37" t="s">
        <v>147</v>
      </c>
      <c r="K37" t="s">
        <v>90</v>
      </c>
      <c r="L37" t="s">
        <v>62</v>
      </c>
      <c r="M37" t="s">
        <v>50</v>
      </c>
      <c r="N37" t="s">
        <v>99</v>
      </c>
      <c r="O37" s="2">
        <v>400.39</v>
      </c>
      <c r="P37">
        <v>8</v>
      </c>
      <c r="Q37" s="3">
        <v>0.3</v>
      </c>
      <c r="R37" s="2">
        <v>68.23</v>
      </c>
    </row>
    <row r="38" spans="1:18" x14ac:dyDescent="0.25">
      <c r="A38">
        <v>37</v>
      </c>
      <c r="B38" t="s">
        <v>148</v>
      </c>
      <c r="C38" s="5">
        <v>45705</v>
      </c>
      <c r="D38" s="5">
        <v>45707</v>
      </c>
      <c r="E38" t="s">
        <v>19</v>
      </c>
      <c r="F38" t="s">
        <v>80</v>
      </c>
      <c r="G38" t="s">
        <v>21</v>
      </c>
      <c r="H38" t="s">
        <v>54</v>
      </c>
      <c r="I38" t="s">
        <v>23</v>
      </c>
      <c r="J38" t="s">
        <v>97</v>
      </c>
      <c r="K38" t="s">
        <v>98</v>
      </c>
      <c r="L38" t="s">
        <v>70</v>
      </c>
      <c r="M38" t="s">
        <v>42</v>
      </c>
      <c r="N38" t="s">
        <v>113</v>
      </c>
      <c r="O38" s="2">
        <v>282.29000000000002</v>
      </c>
      <c r="P38">
        <v>1</v>
      </c>
      <c r="Q38" s="3">
        <v>0</v>
      </c>
      <c r="R38" s="2">
        <v>68.989999999999995</v>
      </c>
    </row>
    <row r="39" spans="1:18" x14ac:dyDescent="0.25">
      <c r="A39">
        <v>38</v>
      </c>
      <c r="B39" t="s">
        <v>149</v>
      </c>
      <c r="C39" s="5">
        <v>46014</v>
      </c>
      <c r="D39" s="5">
        <v>46018</v>
      </c>
      <c r="E39" t="s">
        <v>19</v>
      </c>
      <c r="F39" t="s">
        <v>150</v>
      </c>
      <c r="G39" t="s">
        <v>21</v>
      </c>
      <c r="H39" t="s">
        <v>22</v>
      </c>
      <c r="I39" t="s">
        <v>23</v>
      </c>
      <c r="J39" t="s">
        <v>89</v>
      </c>
      <c r="K39" t="s">
        <v>90</v>
      </c>
      <c r="L39" t="s">
        <v>62</v>
      </c>
      <c r="M39" t="s">
        <v>50</v>
      </c>
      <c r="N39" t="s">
        <v>151</v>
      </c>
      <c r="O39" s="2">
        <v>282.68</v>
      </c>
      <c r="P39">
        <v>1</v>
      </c>
      <c r="Q39" s="3">
        <v>0.3</v>
      </c>
      <c r="R39" s="2">
        <v>44.14</v>
      </c>
    </row>
    <row r="40" spans="1:18" x14ac:dyDescent="0.25">
      <c r="A40">
        <v>39</v>
      </c>
      <c r="B40" t="s">
        <v>152</v>
      </c>
      <c r="C40" s="5">
        <v>46014</v>
      </c>
      <c r="D40" s="5">
        <v>46019</v>
      </c>
      <c r="E40" t="s">
        <v>65</v>
      </c>
      <c r="F40" t="s">
        <v>53</v>
      </c>
      <c r="G40" t="s">
        <v>73</v>
      </c>
      <c r="H40" t="s">
        <v>54</v>
      </c>
      <c r="I40" t="s">
        <v>23</v>
      </c>
      <c r="J40" t="s">
        <v>147</v>
      </c>
      <c r="K40" t="s">
        <v>90</v>
      </c>
      <c r="L40" t="s">
        <v>62</v>
      </c>
      <c r="M40" t="s">
        <v>42</v>
      </c>
      <c r="N40" t="s">
        <v>113</v>
      </c>
      <c r="O40" s="2">
        <v>1653.1</v>
      </c>
      <c r="P40">
        <v>2</v>
      </c>
      <c r="Q40" s="3">
        <v>0.1</v>
      </c>
      <c r="R40" s="2">
        <v>-112.96</v>
      </c>
    </row>
    <row r="41" spans="1:18" x14ac:dyDescent="0.25">
      <c r="A41">
        <v>40</v>
      </c>
      <c r="B41" t="s">
        <v>153</v>
      </c>
      <c r="C41" s="5">
        <v>45884</v>
      </c>
      <c r="D41" s="5">
        <v>45889</v>
      </c>
      <c r="E41" t="s">
        <v>65</v>
      </c>
      <c r="F41" t="s">
        <v>154</v>
      </c>
      <c r="G41" t="s">
        <v>32</v>
      </c>
      <c r="H41" t="s">
        <v>22</v>
      </c>
      <c r="I41" t="s">
        <v>23</v>
      </c>
      <c r="J41" t="s">
        <v>155</v>
      </c>
      <c r="K41" t="s">
        <v>61</v>
      </c>
      <c r="L41" t="s">
        <v>62</v>
      </c>
      <c r="M41" t="s">
        <v>50</v>
      </c>
      <c r="N41" t="s">
        <v>156</v>
      </c>
      <c r="O41" s="2">
        <v>813.73</v>
      </c>
      <c r="P41">
        <v>3</v>
      </c>
      <c r="Q41" s="3">
        <v>0.2</v>
      </c>
      <c r="R41" s="2">
        <v>139.57</v>
      </c>
    </row>
    <row r="42" spans="1:18" x14ac:dyDescent="0.25">
      <c r="A42">
        <v>41</v>
      </c>
      <c r="B42" t="s">
        <v>157</v>
      </c>
      <c r="C42" s="5">
        <v>45924</v>
      </c>
      <c r="D42" s="5">
        <v>45928</v>
      </c>
      <c r="E42" t="s">
        <v>30</v>
      </c>
      <c r="F42" t="s">
        <v>158</v>
      </c>
      <c r="G42" t="s">
        <v>47</v>
      </c>
      <c r="H42" t="s">
        <v>22</v>
      </c>
      <c r="I42" t="s">
        <v>23</v>
      </c>
      <c r="J42" t="s">
        <v>55</v>
      </c>
      <c r="K42" t="s">
        <v>34</v>
      </c>
      <c r="L42" t="s">
        <v>35</v>
      </c>
      <c r="M42" t="s">
        <v>50</v>
      </c>
      <c r="N42" t="s">
        <v>109</v>
      </c>
      <c r="O42" s="2">
        <v>157.91999999999999</v>
      </c>
      <c r="P42">
        <v>5</v>
      </c>
      <c r="Q42" s="3">
        <v>0</v>
      </c>
      <c r="R42" s="2">
        <v>-0.77</v>
      </c>
    </row>
    <row r="43" spans="1:18" x14ac:dyDescent="0.25">
      <c r="A43">
        <v>42</v>
      </c>
      <c r="B43" t="s">
        <v>159</v>
      </c>
      <c r="C43" s="5">
        <v>45776</v>
      </c>
      <c r="D43" s="5">
        <v>45780</v>
      </c>
      <c r="E43" t="s">
        <v>65</v>
      </c>
      <c r="F43" t="s">
        <v>106</v>
      </c>
      <c r="G43" t="s">
        <v>104</v>
      </c>
      <c r="H43" t="s">
        <v>74</v>
      </c>
      <c r="I43" t="s">
        <v>23</v>
      </c>
      <c r="J43" t="s">
        <v>78</v>
      </c>
      <c r="K43" t="s">
        <v>41</v>
      </c>
      <c r="L43" t="s">
        <v>35</v>
      </c>
      <c r="M43" t="s">
        <v>27</v>
      </c>
      <c r="N43" t="s">
        <v>63</v>
      </c>
      <c r="O43" s="2">
        <v>134.33000000000001</v>
      </c>
      <c r="P43">
        <v>7</v>
      </c>
      <c r="Q43" s="3">
        <v>0.05</v>
      </c>
      <c r="R43" s="2">
        <v>11.07</v>
      </c>
    </row>
    <row r="44" spans="1:18" x14ac:dyDescent="0.25">
      <c r="A44">
        <v>43</v>
      </c>
      <c r="B44" t="s">
        <v>160</v>
      </c>
      <c r="C44" s="5">
        <v>45957</v>
      </c>
      <c r="D44" s="5">
        <v>45958</v>
      </c>
      <c r="E44" t="s">
        <v>65</v>
      </c>
      <c r="F44" t="s">
        <v>158</v>
      </c>
      <c r="G44" t="s">
        <v>88</v>
      </c>
      <c r="H44" t="s">
        <v>54</v>
      </c>
      <c r="I44" t="s">
        <v>23</v>
      </c>
      <c r="J44" t="s">
        <v>161</v>
      </c>
      <c r="K44" t="s">
        <v>162</v>
      </c>
      <c r="L44" t="s">
        <v>62</v>
      </c>
      <c r="M44" t="s">
        <v>50</v>
      </c>
      <c r="N44" t="s">
        <v>109</v>
      </c>
      <c r="O44" s="2">
        <v>30.5</v>
      </c>
      <c r="P44">
        <v>6</v>
      </c>
      <c r="Q44" s="3">
        <v>0.05</v>
      </c>
      <c r="R44" s="2">
        <v>4.76</v>
      </c>
    </row>
    <row r="45" spans="1:18" x14ac:dyDescent="0.25">
      <c r="A45">
        <v>44</v>
      </c>
      <c r="B45" t="s">
        <v>163</v>
      </c>
      <c r="C45" s="5">
        <v>45907</v>
      </c>
      <c r="D45" s="5">
        <v>45909</v>
      </c>
      <c r="E45" t="s">
        <v>65</v>
      </c>
      <c r="F45" t="s">
        <v>164</v>
      </c>
      <c r="G45" t="s">
        <v>85</v>
      </c>
      <c r="H45" t="s">
        <v>74</v>
      </c>
      <c r="I45" t="s">
        <v>23</v>
      </c>
      <c r="J45" t="s">
        <v>97</v>
      </c>
      <c r="K45" t="s">
        <v>98</v>
      </c>
      <c r="L45" t="s">
        <v>70</v>
      </c>
      <c r="M45" t="s">
        <v>50</v>
      </c>
      <c r="N45" t="s">
        <v>109</v>
      </c>
      <c r="O45" s="2">
        <v>71.66</v>
      </c>
      <c r="P45">
        <v>6</v>
      </c>
      <c r="Q45" s="3">
        <v>0.2</v>
      </c>
      <c r="R45" s="2">
        <v>7.72</v>
      </c>
    </row>
    <row r="46" spans="1:18" x14ac:dyDescent="0.25">
      <c r="A46">
        <v>45</v>
      </c>
      <c r="B46" t="s">
        <v>165</v>
      </c>
      <c r="C46" s="5">
        <v>45976</v>
      </c>
      <c r="D46" s="5">
        <v>45981</v>
      </c>
      <c r="E46" t="s">
        <v>45</v>
      </c>
      <c r="F46" t="s">
        <v>80</v>
      </c>
      <c r="G46" t="s">
        <v>85</v>
      </c>
      <c r="H46" t="s">
        <v>22</v>
      </c>
      <c r="I46" t="s">
        <v>23</v>
      </c>
      <c r="J46" t="s">
        <v>125</v>
      </c>
      <c r="K46" t="s">
        <v>25</v>
      </c>
      <c r="L46" t="s">
        <v>26</v>
      </c>
      <c r="M46" t="s">
        <v>50</v>
      </c>
      <c r="N46" t="s">
        <v>156</v>
      </c>
      <c r="O46" s="2">
        <v>1024.6199999999999</v>
      </c>
      <c r="P46">
        <v>1</v>
      </c>
      <c r="Q46" s="3">
        <v>0</v>
      </c>
      <c r="R46" s="2">
        <v>128.04</v>
      </c>
    </row>
    <row r="47" spans="1:18" x14ac:dyDescent="0.25">
      <c r="A47">
        <v>46</v>
      </c>
      <c r="B47" t="s">
        <v>166</v>
      </c>
      <c r="C47" s="5">
        <v>45852</v>
      </c>
      <c r="D47" s="5">
        <v>45855</v>
      </c>
      <c r="E47" t="s">
        <v>65</v>
      </c>
      <c r="F47" t="s">
        <v>154</v>
      </c>
      <c r="G47" t="s">
        <v>135</v>
      </c>
      <c r="H47" t="s">
        <v>22</v>
      </c>
      <c r="I47" t="s">
        <v>23</v>
      </c>
      <c r="J47" t="s">
        <v>33</v>
      </c>
      <c r="K47" t="s">
        <v>34</v>
      </c>
      <c r="L47" t="s">
        <v>35</v>
      </c>
      <c r="M47" t="s">
        <v>50</v>
      </c>
      <c r="N47" t="s">
        <v>136</v>
      </c>
      <c r="O47" s="2">
        <v>620.75</v>
      </c>
      <c r="P47">
        <v>7</v>
      </c>
      <c r="Q47" s="3">
        <v>0.05</v>
      </c>
      <c r="R47" s="2">
        <v>96.65</v>
      </c>
    </row>
    <row r="48" spans="1:18" x14ac:dyDescent="0.25">
      <c r="A48">
        <v>47</v>
      </c>
      <c r="B48" t="s">
        <v>167</v>
      </c>
      <c r="C48" s="5">
        <v>45667</v>
      </c>
      <c r="D48" s="5">
        <v>45672</v>
      </c>
      <c r="E48" t="s">
        <v>45</v>
      </c>
      <c r="F48" t="s">
        <v>115</v>
      </c>
      <c r="G48" t="s">
        <v>135</v>
      </c>
      <c r="H48" t="s">
        <v>22</v>
      </c>
      <c r="I48" t="s">
        <v>23</v>
      </c>
      <c r="J48" t="s">
        <v>168</v>
      </c>
      <c r="K48" t="s">
        <v>25</v>
      </c>
      <c r="L48" t="s">
        <v>26</v>
      </c>
      <c r="M48" t="s">
        <v>50</v>
      </c>
      <c r="N48" t="s">
        <v>151</v>
      </c>
      <c r="O48" s="2">
        <v>1177.26</v>
      </c>
      <c r="P48">
        <v>1</v>
      </c>
      <c r="Q48" s="3">
        <v>0.3</v>
      </c>
      <c r="R48" s="2">
        <v>-157.91999999999999</v>
      </c>
    </row>
    <row r="49" spans="1:18" x14ac:dyDescent="0.25">
      <c r="A49">
        <v>48</v>
      </c>
      <c r="B49" t="s">
        <v>169</v>
      </c>
      <c r="C49" s="5">
        <v>45736</v>
      </c>
      <c r="D49" s="5">
        <v>45738</v>
      </c>
      <c r="E49" t="s">
        <v>30</v>
      </c>
      <c r="F49" t="s">
        <v>170</v>
      </c>
      <c r="G49" t="s">
        <v>139</v>
      </c>
      <c r="H49" t="s">
        <v>54</v>
      </c>
      <c r="I49" t="s">
        <v>23</v>
      </c>
      <c r="J49" t="s">
        <v>40</v>
      </c>
      <c r="K49" t="s">
        <v>41</v>
      </c>
      <c r="L49" t="s">
        <v>35</v>
      </c>
      <c r="M49" t="s">
        <v>50</v>
      </c>
      <c r="N49" t="s">
        <v>99</v>
      </c>
      <c r="O49" s="2">
        <v>223.61</v>
      </c>
      <c r="P49">
        <v>4</v>
      </c>
      <c r="Q49" s="3">
        <v>0.1</v>
      </c>
      <c r="R49" s="2">
        <v>29.03</v>
      </c>
    </row>
    <row r="50" spans="1:18" x14ac:dyDescent="0.25">
      <c r="A50">
        <v>49</v>
      </c>
      <c r="B50" t="s">
        <v>171</v>
      </c>
      <c r="C50" s="5">
        <v>45716</v>
      </c>
      <c r="D50" s="5">
        <v>45718</v>
      </c>
      <c r="E50" t="s">
        <v>65</v>
      </c>
      <c r="F50" t="s">
        <v>66</v>
      </c>
      <c r="G50" t="s">
        <v>88</v>
      </c>
      <c r="H50" t="s">
        <v>22</v>
      </c>
      <c r="I50" t="s">
        <v>23</v>
      </c>
      <c r="J50" t="s">
        <v>97</v>
      </c>
      <c r="K50" t="s">
        <v>98</v>
      </c>
      <c r="L50" t="s">
        <v>70</v>
      </c>
      <c r="M50" t="s">
        <v>42</v>
      </c>
      <c r="N50" t="s">
        <v>91</v>
      </c>
      <c r="O50" s="2">
        <v>1673.42</v>
      </c>
      <c r="P50">
        <v>10</v>
      </c>
      <c r="Q50" s="3">
        <v>0.2</v>
      </c>
      <c r="R50" s="2">
        <v>314.27999999999997</v>
      </c>
    </row>
    <row r="51" spans="1:18" x14ac:dyDescent="0.25">
      <c r="A51">
        <v>50</v>
      </c>
      <c r="B51" t="s">
        <v>172</v>
      </c>
      <c r="C51" s="5">
        <v>45961</v>
      </c>
      <c r="D51" s="5">
        <v>45963</v>
      </c>
      <c r="E51" t="s">
        <v>19</v>
      </c>
      <c r="F51" t="s">
        <v>131</v>
      </c>
      <c r="G51" t="s">
        <v>73</v>
      </c>
      <c r="H51" t="s">
        <v>74</v>
      </c>
      <c r="I51" t="s">
        <v>23</v>
      </c>
      <c r="J51" t="s">
        <v>82</v>
      </c>
      <c r="K51" t="s">
        <v>49</v>
      </c>
      <c r="L51" t="s">
        <v>26</v>
      </c>
      <c r="M51" t="s">
        <v>27</v>
      </c>
      <c r="N51" t="s">
        <v>28</v>
      </c>
      <c r="O51" s="2">
        <v>1533.52</v>
      </c>
      <c r="P51">
        <v>10</v>
      </c>
      <c r="Q51" s="3">
        <v>0.3</v>
      </c>
      <c r="R51" s="2">
        <v>-157.38999999999999</v>
      </c>
    </row>
    <row r="52" spans="1:18" x14ac:dyDescent="0.25">
      <c r="A52">
        <v>51</v>
      </c>
      <c r="B52" t="s">
        <v>173</v>
      </c>
      <c r="C52" s="5">
        <v>45693</v>
      </c>
      <c r="D52" s="5">
        <v>45698</v>
      </c>
      <c r="E52" t="s">
        <v>65</v>
      </c>
      <c r="F52" t="s">
        <v>46</v>
      </c>
      <c r="G52" t="s">
        <v>85</v>
      </c>
      <c r="H52" t="s">
        <v>74</v>
      </c>
      <c r="I52" t="s">
        <v>23</v>
      </c>
      <c r="J52" t="s">
        <v>120</v>
      </c>
      <c r="K52" t="s">
        <v>108</v>
      </c>
      <c r="L52" t="s">
        <v>70</v>
      </c>
      <c r="M52" t="s">
        <v>42</v>
      </c>
      <c r="N52" t="s">
        <v>56</v>
      </c>
      <c r="O52" s="2">
        <v>1483.75</v>
      </c>
      <c r="P52">
        <v>2</v>
      </c>
      <c r="Q52" s="3">
        <v>0.1</v>
      </c>
      <c r="R52" s="2">
        <v>328.32</v>
      </c>
    </row>
    <row r="53" spans="1:18" x14ac:dyDescent="0.25">
      <c r="A53">
        <v>52</v>
      </c>
      <c r="B53" t="s">
        <v>174</v>
      </c>
      <c r="C53" s="5">
        <v>45925</v>
      </c>
      <c r="D53" s="5">
        <v>45928</v>
      </c>
      <c r="E53" t="s">
        <v>45</v>
      </c>
      <c r="F53" t="s">
        <v>87</v>
      </c>
      <c r="G53" t="s">
        <v>39</v>
      </c>
      <c r="H53" t="s">
        <v>74</v>
      </c>
      <c r="I53" t="s">
        <v>23</v>
      </c>
      <c r="J53" t="s">
        <v>161</v>
      </c>
      <c r="K53" t="s">
        <v>162</v>
      </c>
      <c r="L53" t="s">
        <v>62</v>
      </c>
      <c r="M53" t="s">
        <v>27</v>
      </c>
      <c r="N53" t="s">
        <v>94</v>
      </c>
      <c r="O53" s="2">
        <v>847.48</v>
      </c>
      <c r="P53">
        <v>10</v>
      </c>
      <c r="Q53" s="3">
        <v>0.05</v>
      </c>
      <c r="R53" s="2">
        <v>4.5</v>
      </c>
    </row>
    <row r="54" spans="1:18" x14ac:dyDescent="0.25">
      <c r="A54">
        <v>53</v>
      </c>
      <c r="B54" t="s">
        <v>175</v>
      </c>
      <c r="C54" s="5">
        <v>45895</v>
      </c>
      <c r="D54" s="5">
        <v>45900</v>
      </c>
      <c r="E54" t="s">
        <v>65</v>
      </c>
      <c r="F54" t="s">
        <v>93</v>
      </c>
      <c r="G54" t="s">
        <v>59</v>
      </c>
      <c r="H54" t="s">
        <v>74</v>
      </c>
      <c r="I54" t="s">
        <v>23</v>
      </c>
      <c r="J54" t="s">
        <v>176</v>
      </c>
      <c r="K54" t="s">
        <v>162</v>
      </c>
      <c r="L54" t="s">
        <v>62</v>
      </c>
      <c r="M54" t="s">
        <v>27</v>
      </c>
      <c r="N54" t="s">
        <v>94</v>
      </c>
      <c r="O54" s="2">
        <v>618.79</v>
      </c>
      <c r="P54">
        <v>8</v>
      </c>
      <c r="Q54" s="3">
        <v>0.3</v>
      </c>
      <c r="R54" s="2">
        <v>-19.329999999999998</v>
      </c>
    </row>
    <row r="55" spans="1:18" x14ac:dyDescent="0.25">
      <c r="A55">
        <v>54</v>
      </c>
      <c r="B55" t="s">
        <v>177</v>
      </c>
      <c r="C55" s="5">
        <v>45801</v>
      </c>
      <c r="D55" s="5">
        <v>45806</v>
      </c>
      <c r="E55" t="s">
        <v>65</v>
      </c>
      <c r="F55" t="s">
        <v>178</v>
      </c>
      <c r="G55" t="s">
        <v>73</v>
      </c>
      <c r="H55" t="s">
        <v>22</v>
      </c>
      <c r="I55" t="s">
        <v>23</v>
      </c>
      <c r="J55" t="s">
        <v>179</v>
      </c>
      <c r="K55" t="s">
        <v>98</v>
      </c>
      <c r="L55" t="s">
        <v>70</v>
      </c>
      <c r="M55" t="s">
        <v>27</v>
      </c>
      <c r="N55" t="s">
        <v>36</v>
      </c>
      <c r="O55" s="2">
        <v>939.6</v>
      </c>
      <c r="P55">
        <v>4</v>
      </c>
      <c r="Q55" s="3">
        <v>0</v>
      </c>
      <c r="R55" s="2">
        <v>-14.59</v>
      </c>
    </row>
    <row r="56" spans="1:18" x14ac:dyDescent="0.25">
      <c r="A56">
        <v>55</v>
      </c>
      <c r="B56" t="s">
        <v>180</v>
      </c>
      <c r="C56" s="5">
        <v>45988</v>
      </c>
      <c r="D56" s="5">
        <v>45992</v>
      </c>
      <c r="E56" t="s">
        <v>30</v>
      </c>
      <c r="F56" t="s">
        <v>181</v>
      </c>
      <c r="G56" t="s">
        <v>73</v>
      </c>
      <c r="H56" t="s">
        <v>54</v>
      </c>
      <c r="I56" t="s">
        <v>23</v>
      </c>
      <c r="J56" t="s">
        <v>147</v>
      </c>
      <c r="K56" t="s">
        <v>90</v>
      </c>
      <c r="L56" t="s">
        <v>62</v>
      </c>
      <c r="M56" t="s">
        <v>42</v>
      </c>
      <c r="N56" t="s">
        <v>91</v>
      </c>
      <c r="O56" s="2">
        <v>543.74</v>
      </c>
      <c r="P56">
        <v>7</v>
      </c>
      <c r="Q56" s="3">
        <v>0.2</v>
      </c>
      <c r="R56" s="2">
        <v>-24.38</v>
      </c>
    </row>
    <row r="57" spans="1:18" x14ac:dyDescent="0.25">
      <c r="A57">
        <v>56</v>
      </c>
      <c r="B57" t="s">
        <v>182</v>
      </c>
      <c r="C57" s="5">
        <v>45875</v>
      </c>
      <c r="D57" s="5">
        <v>45880</v>
      </c>
      <c r="E57" t="s">
        <v>45</v>
      </c>
      <c r="F57" t="s">
        <v>183</v>
      </c>
      <c r="G57" t="s">
        <v>47</v>
      </c>
      <c r="H57" t="s">
        <v>54</v>
      </c>
      <c r="I57" t="s">
        <v>23</v>
      </c>
      <c r="J57" t="s">
        <v>120</v>
      </c>
      <c r="K57" t="s">
        <v>108</v>
      </c>
      <c r="L57" t="s">
        <v>70</v>
      </c>
      <c r="M57" t="s">
        <v>50</v>
      </c>
      <c r="N57" t="s">
        <v>99</v>
      </c>
      <c r="O57" s="2">
        <v>827.67</v>
      </c>
      <c r="P57">
        <v>5</v>
      </c>
      <c r="Q57" s="3">
        <v>0.05</v>
      </c>
      <c r="R57" s="2">
        <v>-22.19</v>
      </c>
    </row>
    <row r="58" spans="1:18" x14ac:dyDescent="0.25">
      <c r="A58">
        <v>57</v>
      </c>
      <c r="B58" t="s">
        <v>184</v>
      </c>
      <c r="C58" s="5">
        <v>45756</v>
      </c>
      <c r="D58" s="5">
        <v>45758</v>
      </c>
      <c r="E58" t="s">
        <v>19</v>
      </c>
      <c r="F58" t="s">
        <v>115</v>
      </c>
      <c r="G58" t="s">
        <v>39</v>
      </c>
      <c r="H58" t="s">
        <v>22</v>
      </c>
      <c r="I58" t="s">
        <v>23</v>
      </c>
      <c r="J58" t="s">
        <v>147</v>
      </c>
      <c r="K58" t="s">
        <v>90</v>
      </c>
      <c r="L58" t="s">
        <v>62</v>
      </c>
      <c r="M58" t="s">
        <v>50</v>
      </c>
      <c r="N58" t="s">
        <v>99</v>
      </c>
      <c r="O58" s="2">
        <v>1069.46</v>
      </c>
      <c r="P58">
        <v>9</v>
      </c>
      <c r="Q58" s="3">
        <v>0.15</v>
      </c>
      <c r="R58" s="2">
        <v>-25.08</v>
      </c>
    </row>
    <row r="59" spans="1:18" x14ac:dyDescent="0.25">
      <c r="A59">
        <v>58</v>
      </c>
      <c r="B59" t="s">
        <v>185</v>
      </c>
      <c r="C59" s="5">
        <v>45749</v>
      </c>
      <c r="D59" s="5">
        <v>45752</v>
      </c>
      <c r="E59" t="s">
        <v>45</v>
      </c>
      <c r="F59" t="s">
        <v>186</v>
      </c>
      <c r="G59" t="s">
        <v>135</v>
      </c>
      <c r="H59" t="s">
        <v>74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63</v>
      </c>
      <c r="O59" s="2">
        <v>508.27</v>
      </c>
      <c r="P59">
        <v>1</v>
      </c>
      <c r="Q59" s="3">
        <v>0.15</v>
      </c>
      <c r="R59" s="2">
        <v>-10.29</v>
      </c>
    </row>
    <row r="60" spans="1:18" x14ac:dyDescent="0.25">
      <c r="A60">
        <v>59</v>
      </c>
      <c r="B60" t="s">
        <v>187</v>
      </c>
      <c r="C60" s="5">
        <v>45664</v>
      </c>
      <c r="D60" s="5">
        <v>45669</v>
      </c>
      <c r="E60" t="s">
        <v>65</v>
      </c>
      <c r="F60" t="s">
        <v>129</v>
      </c>
      <c r="G60" t="s">
        <v>135</v>
      </c>
      <c r="H60" t="s">
        <v>22</v>
      </c>
      <c r="I60" t="s">
        <v>23</v>
      </c>
      <c r="J60" t="s">
        <v>179</v>
      </c>
      <c r="K60" t="s">
        <v>98</v>
      </c>
      <c r="L60" t="s">
        <v>70</v>
      </c>
      <c r="M60" t="s">
        <v>50</v>
      </c>
      <c r="N60" t="s">
        <v>109</v>
      </c>
      <c r="O60" s="2">
        <v>804.03</v>
      </c>
      <c r="P60">
        <v>3</v>
      </c>
      <c r="Q60" s="3">
        <v>0</v>
      </c>
      <c r="R60" s="2">
        <v>-9.35</v>
      </c>
    </row>
    <row r="61" spans="1:18" x14ac:dyDescent="0.25">
      <c r="A61">
        <v>60</v>
      </c>
      <c r="B61" t="s">
        <v>188</v>
      </c>
      <c r="C61" s="5">
        <v>45909</v>
      </c>
      <c r="D61" s="5">
        <v>45910</v>
      </c>
      <c r="E61" t="s">
        <v>45</v>
      </c>
      <c r="F61" t="s">
        <v>129</v>
      </c>
      <c r="G61" t="s">
        <v>73</v>
      </c>
      <c r="H61" t="s">
        <v>74</v>
      </c>
      <c r="I61" t="s">
        <v>23</v>
      </c>
      <c r="J61" t="s">
        <v>161</v>
      </c>
      <c r="K61" t="s">
        <v>162</v>
      </c>
      <c r="L61" t="s">
        <v>62</v>
      </c>
      <c r="M61" t="s">
        <v>27</v>
      </c>
      <c r="N61" t="s">
        <v>36</v>
      </c>
      <c r="O61" s="2">
        <v>290.07</v>
      </c>
      <c r="P61">
        <v>10</v>
      </c>
      <c r="Q61" s="3">
        <v>0.05</v>
      </c>
      <c r="R61" s="2">
        <v>-22.53</v>
      </c>
    </row>
    <row r="62" spans="1:18" x14ac:dyDescent="0.25">
      <c r="A62">
        <v>61</v>
      </c>
      <c r="B62" t="s">
        <v>189</v>
      </c>
      <c r="C62" s="5">
        <v>45925</v>
      </c>
      <c r="D62" s="5">
        <v>45929</v>
      </c>
      <c r="E62" t="s">
        <v>19</v>
      </c>
      <c r="F62" t="s">
        <v>118</v>
      </c>
      <c r="G62" t="s">
        <v>88</v>
      </c>
      <c r="H62" t="s">
        <v>22</v>
      </c>
      <c r="I62" t="s">
        <v>23</v>
      </c>
      <c r="J62" t="s">
        <v>89</v>
      </c>
      <c r="K62" t="s">
        <v>90</v>
      </c>
      <c r="L62" t="s">
        <v>62</v>
      </c>
      <c r="M62" t="s">
        <v>50</v>
      </c>
      <c r="N62" t="s">
        <v>136</v>
      </c>
      <c r="O62" s="2">
        <v>1551.1</v>
      </c>
      <c r="P62">
        <v>7</v>
      </c>
      <c r="Q62" s="3">
        <v>0.05</v>
      </c>
      <c r="R62" s="2">
        <v>141.96</v>
      </c>
    </row>
    <row r="63" spans="1:18" x14ac:dyDescent="0.25">
      <c r="A63">
        <v>62</v>
      </c>
      <c r="B63" t="s">
        <v>190</v>
      </c>
      <c r="C63" s="5">
        <v>45978</v>
      </c>
      <c r="D63" s="5">
        <v>45980</v>
      </c>
      <c r="E63" t="s">
        <v>19</v>
      </c>
      <c r="F63" t="s">
        <v>103</v>
      </c>
      <c r="G63" t="s">
        <v>77</v>
      </c>
      <c r="H63" t="s">
        <v>54</v>
      </c>
      <c r="I63" t="s">
        <v>23</v>
      </c>
      <c r="J63" t="s">
        <v>179</v>
      </c>
      <c r="K63" t="s">
        <v>98</v>
      </c>
      <c r="L63" t="s">
        <v>70</v>
      </c>
      <c r="M63" t="s">
        <v>27</v>
      </c>
      <c r="N63" t="s">
        <v>36</v>
      </c>
      <c r="O63" s="2">
        <v>299.56</v>
      </c>
      <c r="P63">
        <v>3</v>
      </c>
      <c r="Q63" s="3">
        <v>0.15</v>
      </c>
      <c r="R63" s="2">
        <v>-28.83</v>
      </c>
    </row>
    <row r="64" spans="1:18" x14ac:dyDescent="0.25">
      <c r="A64">
        <v>63</v>
      </c>
      <c r="B64" t="s">
        <v>191</v>
      </c>
      <c r="C64" s="5">
        <v>45807</v>
      </c>
      <c r="D64" s="5">
        <v>45808</v>
      </c>
      <c r="E64" t="s">
        <v>30</v>
      </c>
      <c r="F64" t="s">
        <v>145</v>
      </c>
      <c r="G64" t="s">
        <v>32</v>
      </c>
      <c r="H64" t="s">
        <v>54</v>
      </c>
      <c r="I64" t="s">
        <v>23</v>
      </c>
      <c r="J64" t="s">
        <v>55</v>
      </c>
      <c r="K64" t="s">
        <v>34</v>
      </c>
      <c r="L64" t="s">
        <v>35</v>
      </c>
      <c r="M64" t="s">
        <v>50</v>
      </c>
      <c r="N64" t="s">
        <v>99</v>
      </c>
      <c r="O64" s="2">
        <v>523.24</v>
      </c>
      <c r="P64">
        <v>8</v>
      </c>
      <c r="Q64" s="3">
        <v>0</v>
      </c>
      <c r="R64" s="2">
        <v>73.56</v>
      </c>
    </row>
    <row r="65" spans="1:18" x14ac:dyDescent="0.25">
      <c r="A65">
        <v>64</v>
      </c>
      <c r="B65" t="s">
        <v>192</v>
      </c>
      <c r="C65" s="5">
        <v>45875</v>
      </c>
      <c r="D65" s="5">
        <v>45876</v>
      </c>
      <c r="E65" t="s">
        <v>30</v>
      </c>
      <c r="F65" t="s">
        <v>38</v>
      </c>
      <c r="G65" t="s">
        <v>88</v>
      </c>
      <c r="H65" t="s">
        <v>54</v>
      </c>
      <c r="I65" t="s">
        <v>23</v>
      </c>
      <c r="J65" t="s">
        <v>155</v>
      </c>
      <c r="K65" t="s">
        <v>61</v>
      </c>
      <c r="L65" t="s">
        <v>62</v>
      </c>
      <c r="M65" t="s">
        <v>42</v>
      </c>
      <c r="N65" t="s">
        <v>113</v>
      </c>
      <c r="O65" s="2">
        <v>1636.97</v>
      </c>
      <c r="P65">
        <v>3</v>
      </c>
      <c r="Q65" s="3">
        <v>0</v>
      </c>
      <c r="R65" s="2">
        <v>-129.53</v>
      </c>
    </row>
    <row r="66" spans="1:18" x14ac:dyDescent="0.25">
      <c r="A66">
        <v>65</v>
      </c>
      <c r="B66" t="s">
        <v>193</v>
      </c>
      <c r="C66" s="5">
        <v>45882</v>
      </c>
      <c r="D66" s="5">
        <v>45883</v>
      </c>
      <c r="E66" t="s">
        <v>65</v>
      </c>
      <c r="F66" t="s">
        <v>87</v>
      </c>
      <c r="G66" t="s">
        <v>139</v>
      </c>
      <c r="H66" t="s">
        <v>22</v>
      </c>
      <c r="I66" t="s">
        <v>23</v>
      </c>
      <c r="J66" t="s">
        <v>147</v>
      </c>
      <c r="K66" t="s">
        <v>90</v>
      </c>
      <c r="L66" t="s">
        <v>62</v>
      </c>
      <c r="M66" t="s">
        <v>27</v>
      </c>
      <c r="N66" t="s">
        <v>28</v>
      </c>
      <c r="O66" s="2">
        <v>1265.53</v>
      </c>
      <c r="P66">
        <v>5</v>
      </c>
      <c r="Q66" s="3">
        <v>0.15</v>
      </c>
      <c r="R66" s="2">
        <v>84.15</v>
      </c>
    </row>
    <row r="67" spans="1:18" x14ac:dyDescent="0.25">
      <c r="A67">
        <v>66</v>
      </c>
      <c r="B67" t="s">
        <v>194</v>
      </c>
      <c r="C67" s="5">
        <v>45823</v>
      </c>
      <c r="D67" s="5">
        <v>45828</v>
      </c>
      <c r="E67" t="s">
        <v>30</v>
      </c>
      <c r="F67" t="s">
        <v>195</v>
      </c>
      <c r="G67" t="s">
        <v>81</v>
      </c>
      <c r="H67" t="s">
        <v>22</v>
      </c>
      <c r="I67" t="s">
        <v>23</v>
      </c>
      <c r="J67" t="s">
        <v>179</v>
      </c>
      <c r="K67" t="s">
        <v>98</v>
      </c>
      <c r="L67" t="s">
        <v>70</v>
      </c>
      <c r="M67" t="s">
        <v>42</v>
      </c>
      <c r="N67" t="s">
        <v>91</v>
      </c>
      <c r="O67" s="2">
        <v>427.49</v>
      </c>
      <c r="P67">
        <v>10</v>
      </c>
      <c r="Q67" s="3">
        <v>0.15</v>
      </c>
      <c r="R67" s="2">
        <v>89.89</v>
      </c>
    </row>
    <row r="68" spans="1:18" x14ac:dyDescent="0.25">
      <c r="A68">
        <v>67</v>
      </c>
      <c r="B68" t="s">
        <v>196</v>
      </c>
      <c r="C68" s="5">
        <v>45923</v>
      </c>
      <c r="D68" s="5">
        <v>45927</v>
      </c>
      <c r="E68" t="s">
        <v>65</v>
      </c>
      <c r="F68" t="s">
        <v>101</v>
      </c>
      <c r="G68" t="s">
        <v>59</v>
      </c>
      <c r="H68" t="s">
        <v>54</v>
      </c>
      <c r="I68" t="s">
        <v>23</v>
      </c>
      <c r="J68" t="s">
        <v>97</v>
      </c>
      <c r="K68" t="s">
        <v>98</v>
      </c>
      <c r="L68" t="s">
        <v>70</v>
      </c>
      <c r="M68" t="s">
        <v>42</v>
      </c>
      <c r="N68" t="s">
        <v>56</v>
      </c>
      <c r="O68" s="2">
        <v>1149.92</v>
      </c>
      <c r="P68">
        <v>8</v>
      </c>
      <c r="Q68" s="3">
        <v>0</v>
      </c>
      <c r="R68" s="2">
        <v>74.17</v>
      </c>
    </row>
    <row r="69" spans="1:18" x14ac:dyDescent="0.25">
      <c r="A69">
        <v>68</v>
      </c>
      <c r="B69" t="s">
        <v>197</v>
      </c>
      <c r="C69" s="5">
        <v>45740</v>
      </c>
      <c r="D69" s="5">
        <v>45743</v>
      </c>
      <c r="E69" t="s">
        <v>19</v>
      </c>
      <c r="F69" t="s">
        <v>80</v>
      </c>
      <c r="G69" t="s">
        <v>47</v>
      </c>
      <c r="H69" t="s">
        <v>74</v>
      </c>
      <c r="I69" t="s">
        <v>23</v>
      </c>
      <c r="J69" t="s">
        <v>68</v>
      </c>
      <c r="K69" t="s">
        <v>69</v>
      </c>
      <c r="L69" t="s">
        <v>70</v>
      </c>
      <c r="M69" t="s">
        <v>27</v>
      </c>
      <c r="N69" t="s">
        <v>94</v>
      </c>
      <c r="O69" s="2">
        <v>533.03</v>
      </c>
      <c r="P69">
        <v>7</v>
      </c>
      <c r="Q69" s="3">
        <v>0.3</v>
      </c>
      <c r="R69" s="2">
        <v>64.59</v>
      </c>
    </row>
    <row r="70" spans="1:18" x14ac:dyDescent="0.25">
      <c r="A70">
        <v>69</v>
      </c>
      <c r="B70" t="s">
        <v>198</v>
      </c>
      <c r="C70" s="5">
        <v>45823</v>
      </c>
      <c r="D70" s="5">
        <v>45824</v>
      </c>
      <c r="E70" t="s">
        <v>45</v>
      </c>
      <c r="F70" t="s">
        <v>199</v>
      </c>
      <c r="G70" t="s">
        <v>59</v>
      </c>
      <c r="H70" t="s">
        <v>54</v>
      </c>
      <c r="I70" t="s">
        <v>23</v>
      </c>
      <c r="J70" t="s">
        <v>68</v>
      </c>
      <c r="K70" t="s">
        <v>69</v>
      </c>
      <c r="L70" t="s">
        <v>70</v>
      </c>
      <c r="M70" t="s">
        <v>27</v>
      </c>
      <c r="N70" t="s">
        <v>36</v>
      </c>
      <c r="O70" s="2">
        <v>1190.6400000000001</v>
      </c>
      <c r="P70">
        <v>9</v>
      </c>
      <c r="Q70" s="3">
        <v>0.1</v>
      </c>
      <c r="R70" s="2">
        <v>35.29</v>
      </c>
    </row>
    <row r="71" spans="1:18" x14ac:dyDescent="0.25">
      <c r="A71">
        <v>70</v>
      </c>
      <c r="B71" t="s">
        <v>200</v>
      </c>
      <c r="C71" s="5">
        <v>45978</v>
      </c>
      <c r="D71" s="5">
        <v>45982</v>
      </c>
      <c r="E71" t="s">
        <v>65</v>
      </c>
      <c r="F71" t="s">
        <v>129</v>
      </c>
      <c r="G71" t="s">
        <v>81</v>
      </c>
      <c r="H71" t="s">
        <v>54</v>
      </c>
      <c r="I71" t="s">
        <v>23</v>
      </c>
      <c r="J71" t="s">
        <v>168</v>
      </c>
      <c r="K71" t="s">
        <v>25</v>
      </c>
      <c r="L71" t="s">
        <v>26</v>
      </c>
      <c r="M71" t="s">
        <v>42</v>
      </c>
      <c r="N71" t="s">
        <v>43</v>
      </c>
      <c r="O71" s="2">
        <v>997.61</v>
      </c>
      <c r="P71">
        <v>5</v>
      </c>
      <c r="Q71" s="3">
        <v>0.1</v>
      </c>
      <c r="R71" s="2">
        <v>192.83</v>
      </c>
    </row>
    <row r="72" spans="1:18" x14ac:dyDescent="0.25">
      <c r="A72">
        <v>71</v>
      </c>
      <c r="B72" t="s">
        <v>201</v>
      </c>
      <c r="C72" s="5">
        <v>45780</v>
      </c>
      <c r="D72" s="5">
        <v>45782</v>
      </c>
      <c r="E72" t="s">
        <v>19</v>
      </c>
      <c r="F72" t="s">
        <v>80</v>
      </c>
      <c r="G72" t="s">
        <v>47</v>
      </c>
      <c r="H72" t="s">
        <v>54</v>
      </c>
      <c r="I72" t="s">
        <v>23</v>
      </c>
      <c r="J72" t="s">
        <v>97</v>
      </c>
      <c r="K72" t="s">
        <v>98</v>
      </c>
      <c r="L72" t="s">
        <v>70</v>
      </c>
      <c r="M72" t="s">
        <v>27</v>
      </c>
      <c r="N72" t="s">
        <v>36</v>
      </c>
      <c r="O72" s="2">
        <v>1003.01</v>
      </c>
      <c r="P72">
        <v>2</v>
      </c>
      <c r="Q72" s="3">
        <v>0</v>
      </c>
      <c r="R72" s="2">
        <v>248.03</v>
      </c>
    </row>
    <row r="73" spans="1:18" x14ac:dyDescent="0.25">
      <c r="A73">
        <v>72</v>
      </c>
      <c r="B73" t="s">
        <v>202</v>
      </c>
      <c r="C73" s="5">
        <v>45913</v>
      </c>
      <c r="D73" s="5">
        <v>45916</v>
      </c>
      <c r="E73" t="s">
        <v>45</v>
      </c>
      <c r="F73" t="s">
        <v>203</v>
      </c>
      <c r="G73" t="s">
        <v>104</v>
      </c>
      <c r="H73" t="s">
        <v>54</v>
      </c>
      <c r="I73" t="s">
        <v>23</v>
      </c>
      <c r="J73" t="s">
        <v>60</v>
      </c>
      <c r="K73" t="s">
        <v>61</v>
      </c>
      <c r="L73" t="s">
        <v>62</v>
      </c>
      <c r="M73" t="s">
        <v>27</v>
      </c>
      <c r="N73" t="s">
        <v>28</v>
      </c>
      <c r="O73" s="2">
        <v>759.57</v>
      </c>
      <c r="P73">
        <v>8</v>
      </c>
      <c r="Q73" s="3">
        <v>0.1</v>
      </c>
      <c r="R73" s="2">
        <v>-22.55</v>
      </c>
    </row>
    <row r="74" spans="1:18" x14ac:dyDescent="0.25">
      <c r="A74">
        <v>73</v>
      </c>
      <c r="B74" t="s">
        <v>204</v>
      </c>
      <c r="C74" s="5">
        <v>45693</v>
      </c>
      <c r="D74" s="5">
        <v>45696</v>
      </c>
      <c r="E74" t="s">
        <v>65</v>
      </c>
      <c r="F74" t="s">
        <v>205</v>
      </c>
      <c r="G74" t="s">
        <v>77</v>
      </c>
      <c r="H74" t="s">
        <v>54</v>
      </c>
      <c r="I74" t="s">
        <v>23</v>
      </c>
      <c r="J74" t="s">
        <v>68</v>
      </c>
      <c r="K74" t="s">
        <v>69</v>
      </c>
      <c r="L74" t="s">
        <v>70</v>
      </c>
      <c r="M74" t="s">
        <v>50</v>
      </c>
      <c r="N74" t="s">
        <v>156</v>
      </c>
      <c r="O74" s="2">
        <v>495.57</v>
      </c>
      <c r="P74">
        <v>1</v>
      </c>
      <c r="Q74" s="3">
        <v>0.05</v>
      </c>
      <c r="R74" s="2">
        <v>72.66</v>
      </c>
    </row>
    <row r="75" spans="1:18" x14ac:dyDescent="0.25">
      <c r="A75">
        <v>74</v>
      </c>
      <c r="B75" t="s">
        <v>206</v>
      </c>
      <c r="C75" s="5">
        <v>45834</v>
      </c>
      <c r="D75" s="5">
        <v>45837</v>
      </c>
      <c r="E75" t="s">
        <v>45</v>
      </c>
      <c r="F75" t="s">
        <v>195</v>
      </c>
      <c r="G75" t="s">
        <v>21</v>
      </c>
      <c r="H75" t="s">
        <v>22</v>
      </c>
      <c r="I75" t="s">
        <v>23</v>
      </c>
      <c r="J75" t="s">
        <v>155</v>
      </c>
      <c r="K75" t="s">
        <v>61</v>
      </c>
      <c r="L75" t="s">
        <v>62</v>
      </c>
      <c r="M75" t="s">
        <v>27</v>
      </c>
      <c r="N75" t="s">
        <v>94</v>
      </c>
      <c r="O75" s="2">
        <v>830.51</v>
      </c>
      <c r="P75">
        <v>6</v>
      </c>
      <c r="Q75" s="3">
        <v>0.3</v>
      </c>
      <c r="R75" s="2">
        <v>-65.59</v>
      </c>
    </row>
    <row r="76" spans="1:18" x14ac:dyDescent="0.25">
      <c r="A76">
        <v>75</v>
      </c>
      <c r="B76" t="s">
        <v>207</v>
      </c>
      <c r="C76" s="5">
        <v>45680</v>
      </c>
      <c r="D76" s="5">
        <v>45683</v>
      </c>
      <c r="E76" t="s">
        <v>45</v>
      </c>
      <c r="F76" t="s">
        <v>208</v>
      </c>
      <c r="G76" t="s">
        <v>139</v>
      </c>
      <c r="H76" t="s">
        <v>74</v>
      </c>
      <c r="I76" t="s">
        <v>23</v>
      </c>
      <c r="J76" t="s">
        <v>89</v>
      </c>
      <c r="K76" t="s">
        <v>90</v>
      </c>
      <c r="L76" t="s">
        <v>62</v>
      </c>
      <c r="M76" t="s">
        <v>27</v>
      </c>
      <c r="N76" t="s">
        <v>94</v>
      </c>
      <c r="O76" s="2">
        <v>707.22</v>
      </c>
      <c r="P76">
        <v>3</v>
      </c>
      <c r="Q76" s="3">
        <v>0.1</v>
      </c>
      <c r="R76" s="2">
        <v>157.49</v>
      </c>
    </row>
    <row r="77" spans="1:18" x14ac:dyDescent="0.25">
      <c r="A77">
        <v>76</v>
      </c>
      <c r="B77" t="s">
        <v>209</v>
      </c>
      <c r="C77" s="5">
        <v>45883</v>
      </c>
      <c r="D77" s="5">
        <v>45884</v>
      </c>
      <c r="E77" t="s">
        <v>45</v>
      </c>
      <c r="F77" t="s">
        <v>210</v>
      </c>
      <c r="G77" t="s">
        <v>77</v>
      </c>
      <c r="H77" t="s">
        <v>74</v>
      </c>
      <c r="I77" t="s">
        <v>23</v>
      </c>
      <c r="J77" t="s">
        <v>155</v>
      </c>
      <c r="K77" t="s">
        <v>61</v>
      </c>
      <c r="L77" t="s">
        <v>62</v>
      </c>
      <c r="M77" t="s">
        <v>50</v>
      </c>
      <c r="N77" t="s">
        <v>51</v>
      </c>
      <c r="O77" s="2">
        <v>1305.95</v>
      </c>
      <c r="P77">
        <v>7</v>
      </c>
      <c r="Q77" s="3">
        <v>0.3</v>
      </c>
      <c r="R77" s="2">
        <v>109.93</v>
      </c>
    </row>
    <row r="78" spans="1:18" x14ac:dyDescent="0.25">
      <c r="A78">
        <v>77</v>
      </c>
      <c r="B78" t="s">
        <v>211</v>
      </c>
      <c r="C78" s="5">
        <v>45977</v>
      </c>
      <c r="D78" s="5">
        <v>45981</v>
      </c>
      <c r="E78" t="s">
        <v>65</v>
      </c>
      <c r="F78" t="s">
        <v>158</v>
      </c>
      <c r="G78" t="s">
        <v>81</v>
      </c>
      <c r="H78" t="s">
        <v>54</v>
      </c>
      <c r="I78" t="s">
        <v>23</v>
      </c>
      <c r="J78" t="s">
        <v>48</v>
      </c>
      <c r="K78" t="s">
        <v>49</v>
      </c>
      <c r="L78" t="s">
        <v>26</v>
      </c>
      <c r="M78" t="s">
        <v>50</v>
      </c>
      <c r="N78" t="s">
        <v>99</v>
      </c>
      <c r="O78" s="2">
        <v>1549.63</v>
      </c>
      <c r="P78">
        <v>7</v>
      </c>
      <c r="Q78" s="3">
        <v>0.05</v>
      </c>
      <c r="R78" s="2">
        <v>173.37</v>
      </c>
    </row>
    <row r="79" spans="1:18" x14ac:dyDescent="0.25">
      <c r="A79">
        <v>78</v>
      </c>
      <c r="B79" t="s">
        <v>212</v>
      </c>
      <c r="C79" s="5">
        <v>45778</v>
      </c>
      <c r="D79" s="5">
        <v>45781</v>
      </c>
      <c r="E79" t="s">
        <v>19</v>
      </c>
      <c r="F79" t="s">
        <v>111</v>
      </c>
      <c r="G79" t="s">
        <v>85</v>
      </c>
      <c r="H79" t="s">
        <v>54</v>
      </c>
      <c r="I79" t="s">
        <v>23</v>
      </c>
      <c r="J79" t="s">
        <v>33</v>
      </c>
      <c r="K79" t="s">
        <v>34</v>
      </c>
      <c r="L79" t="s">
        <v>35</v>
      </c>
      <c r="M79" t="s">
        <v>27</v>
      </c>
      <c r="N79" t="s">
        <v>36</v>
      </c>
      <c r="O79" s="2">
        <v>792.47</v>
      </c>
      <c r="P79">
        <v>2</v>
      </c>
      <c r="Q79" s="3">
        <v>0.3</v>
      </c>
      <c r="R79" s="2">
        <v>60.87</v>
      </c>
    </row>
    <row r="80" spans="1:18" x14ac:dyDescent="0.25">
      <c r="A80">
        <v>79</v>
      </c>
      <c r="B80" t="s">
        <v>213</v>
      </c>
      <c r="C80" s="5">
        <v>45672</v>
      </c>
      <c r="D80" s="5">
        <v>45673</v>
      </c>
      <c r="E80" t="s">
        <v>65</v>
      </c>
      <c r="F80" t="s">
        <v>195</v>
      </c>
      <c r="G80" t="s">
        <v>127</v>
      </c>
      <c r="H80" t="s">
        <v>22</v>
      </c>
      <c r="I80" t="s">
        <v>23</v>
      </c>
      <c r="J80" t="s">
        <v>120</v>
      </c>
      <c r="K80" t="s">
        <v>108</v>
      </c>
      <c r="L80" t="s">
        <v>70</v>
      </c>
      <c r="M80" t="s">
        <v>42</v>
      </c>
      <c r="N80" t="s">
        <v>43</v>
      </c>
      <c r="O80" s="2">
        <v>658.06</v>
      </c>
      <c r="P80">
        <v>7</v>
      </c>
      <c r="Q80" s="3">
        <v>0</v>
      </c>
      <c r="R80" s="2">
        <v>-9.56</v>
      </c>
    </row>
    <row r="81" spans="1:18" x14ac:dyDescent="0.25">
      <c r="A81">
        <v>80</v>
      </c>
      <c r="B81" t="s">
        <v>214</v>
      </c>
      <c r="C81" s="5">
        <v>45747</v>
      </c>
      <c r="D81" s="5">
        <v>45748</v>
      </c>
      <c r="E81" t="s">
        <v>65</v>
      </c>
      <c r="F81" t="s">
        <v>186</v>
      </c>
      <c r="G81" t="s">
        <v>39</v>
      </c>
      <c r="H81" t="s">
        <v>74</v>
      </c>
      <c r="I81" t="s">
        <v>23</v>
      </c>
      <c r="J81" t="s">
        <v>176</v>
      </c>
      <c r="K81" t="s">
        <v>162</v>
      </c>
      <c r="L81" t="s">
        <v>62</v>
      </c>
      <c r="M81" t="s">
        <v>50</v>
      </c>
      <c r="N81" t="s">
        <v>156</v>
      </c>
      <c r="O81" s="2">
        <v>1235.98</v>
      </c>
      <c r="P81">
        <v>8</v>
      </c>
      <c r="Q81" s="3">
        <v>0.15</v>
      </c>
      <c r="R81" s="2">
        <v>-89.5</v>
      </c>
    </row>
    <row r="82" spans="1:18" x14ac:dyDescent="0.25">
      <c r="A82">
        <v>81</v>
      </c>
      <c r="B82" t="s">
        <v>215</v>
      </c>
      <c r="C82" s="5">
        <v>45999</v>
      </c>
      <c r="D82" s="5">
        <v>46000</v>
      </c>
      <c r="E82" t="s">
        <v>30</v>
      </c>
      <c r="F82" t="s">
        <v>186</v>
      </c>
      <c r="G82" t="s">
        <v>21</v>
      </c>
      <c r="H82" t="s">
        <v>54</v>
      </c>
      <c r="I82" t="s">
        <v>23</v>
      </c>
      <c r="J82" t="s">
        <v>147</v>
      </c>
      <c r="K82" t="s">
        <v>90</v>
      </c>
      <c r="L82" t="s">
        <v>62</v>
      </c>
      <c r="M82" t="s">
        <v>50</v>
      </c>
      <c r="N82" t="s">
        <v>99</v>
      </c>
      <c r="O82" s="2">
        <v>992.94</v>
      </c>
      <c r="P82">
        <v>2</v>
      </c>
      <c r="Q82" s="3">
        <v>0.1</v>
      </c>
      <c r="R82" s="2">
        <v>214.31</v>
      </c>
    </row>
    <row r="83" spans="1:18" x14ac:dyDescent="0.25">
      <c r="A83">
        <v>82</v>
      </c>
      <c r="B83" t="s">
        <v>216</v>
      </c>
      <c r="C83" s="5">
        <v>45891</v>
      </c>
      <c r="D83" s="5">
        <v>45894</v>
      </c>
      <c r="E83" t="s">
        <v>30</v>
      </c>
      <c r="F83" t="s">
        <v>217</v>
      </c>
      <c r="G83" t="s">
        <v>39</v>
      </c>
      <c r="H83" t="s">
        <v>22</v>
      </c>
      <c r="I83" t="s">
        <v>23</v>
      </c>
      <c r="J83" t="s">
        <v>33</v>
      </c>
      <c r="K83" t="s">
        <v>34</v>
      </c>
      <c r="L83" t="s">
        <v>35</v>
      </c>
      <c r="M83" t="s">
        <v>50</v>
      </c>
      <c r="N83" t="s">
        <v>109</v>
      </c>
      <c r="O83" s="2">
        <v>209.84</v>
      </c>
      <c r="P83">
        <v>7</v>
      </c>
      <c r="Q83" s="3">
        <v>0.15</v>
      </c>
      <c r="R83" s="2">
        <v>0.66</v>
      </c>
    </row>
    <row r="84" spans="1:18" x14ac:dyDescent="0.25">
      <c r="A84">
        <v>83</v>
      </c>
      <c r="B84" t="s">
        <v>218</v>
      </c>
      <c r="C84" s="5">
        <v>45798</v>
      </c>
      <c r="D84" s="5">
        <v>45799</v>
      </c>
      <c r="E84" t="s">
        <v>30</v>
      </c>
      <c r="F84" t="s">
        <v>150</v>
      </c>
      <c r="G84" t="s">
        <v>32</v>
      </c>
      <c r="H84" t="s">
        <v>22</v>
      </c>
      <c r="I84" t="s">
        <v>23</v>
      </c>
      <c r="J84" t="s">
        <v>176</v>
      </c>
      <c r="K84" t="s">
        <v>162</v>
      </c>
      <c r="L84" t="s">
        <v>62</v>
      </c>
      <c r="M84" t="s">
        <v>27</v>
      </c>
      <c r="N84" t="s">
        <v>36</v>
      </c>
      <c r="O84" s="2">
        <v>1640.9</v>
      </c>
      <c r="P84">
        <v>8</v>
      </c>
      <c r="Q84" s="3">
        <v>0.3</v>
      </c>
      <c r="R84" s="2">
        <v>281.33999999999997</v>
      </c>
    </row>
    <row r="85" spans="1:18" x14ac:dyDescent="0.25">
      <c r="A85">
        <v>84</v>
      </c>
      <c r="B85" t="s">
        <v>219</v>
      </c>
      <c r="C85" s="5">
        <v>45770</v>
      </c>
      <c r="D85" s="5">
        <v>45772</v>
      </c>
      <c r="E85" t="s">
        <v>19</v>
      </c>
      <c r="F85" t="s">
        <v>220</v>
      </c>
      <c r="G85" t="s">
        <v>32</v>
      </c>
      <c r="H85" t="s">
        <v>74</v>
      </c>
      <c r="I85" t="s">
        <v>23</v>
      </c>
      <c r="J85" t="s">
        <v>161</v>
      </c>
      <c r="K85" t="s">
        <v>162</v>
      </c>
      <c r="L85" t="s">
        <v>62</v>
      </c>
      <c r="M85" t="s">
        <v>50</v>
      </c>
      <c r="N85" t="s">
        <v>99</v>
      </c>
      <c r="O85" s="2">
        <v>1364.93</v>
      </c>
      <c r="P85">
        <v>3</v>
      </c>
      <c r="Q85" s="3">
        <v>0.2</v>
      </c>
      <c r="R85" s="2">
        <v>-131.02000000000001</v>
      </c>
    </row>
    <row r="86" spans="1:18" x14ac:dyDescent="0.25">
      <c r="A86">
        <v>85</v>
      </c>
      <c r="B86" t="s">
        <v>221</v>
      </c>
      <c r="C86" s="5">
        <v>45954</v>
      </c>
      <c r="D86" s="5">
        <v>45957</v>
      </c>
      <c r="E86" t="s">
        <v>30</v>
      </c>
      <c r="F86" t="s">
        <v>199</v>
      </c>
      <c r="G86" t="s">
        <v>73</v>
      </c>
      <c r="H86" t="s">
        <v>74</v>
      </c>
      <c r="I86" t="s">
        <v>23</v>
      </c>
      <c r="J86" t="s">
        <v>75</v>
      </c>
      <c r="K86" t="s">
        <v>41</v>
      </c>
      <c r="L86" t="s">
        <v>35</v>
      </c>
      <c r="M86" t="s">
        <v>42</v>
      </c>
      <c r="N86" t="s">
        <v>43</v>
      </c>
      <c r="O86" s="2">
        <v>601.55999999999995</v>
      </c>
      <c r="P86">
        <v>7</v>
      </c>
      <c r="Q86" s="3">
        <v>0</v>
      </c>
      <c r="R86" s="2">
        <v>-17.88</v>
      </c>
    </row>
    <row r="87" spans="1:18" x14ac:dyDescent="0.25">
      <c r="A87">
        <v>86</v>
      </c>
      <c r="B87" t="s">
        <v>222</v>
      </c>
      <c r="C87" s="5">
        <v>45789</v>
      </c>
      <c r="D87" s="5">
        <v>45793</v>
      </c>
      <c r="E87" t="s">
        <v>45</v>
      </c>
      <c r="F87" t="s">
        <v>58</v>
      </c>
      <c r="G87" t="s">
        <v>88</v>
      </c>
      <c r="H87" t="s">
        <v>54</v>
      </c>
      <c r="I87" t="s">
        <v>23</v>
      </c>
      <c r="J87" t="s">
        <v>179</v>
      </c>
      <c r="K87" t="s">
        <v>98</v>
      </c>
      <c r="L87" t="s">
        <v>70</v>
      </c>
      <c r="M87" t="s">
        <v>27</v>
      </c>
      <c r="N87" t="s">
        <v>28</v>
      </c>
      <c r="O87" s="2">
        <v>1451.53</v>
      </c>
      <c r="P87">
        <v>8</v>
      </c>
      <c r="Q87" s="3">
        <v>0</v>
      </c>
      <c r="R87" s="2">
        <v>-73.64</v>
      </c>
    </row>
    <row r="88" spans="1:18" x14ac:dyDescent="0.25">
      <c r="A88">
        <v>87</v>
      </c>
      <c r="B88" t="s">
        <v>223</v>
      </c>
      <c r="C88" s="5">
        <v>45943</v>
      </c>
      <c r="D88" s="5">
        <v>45946</v>
      </c>
      <c r="E88" t="s">
        <v>30</v>
      </c>
      <c r="F88" t="s">
        <v>20</v>
      </c>
      <c r="G88" t="s">
        <v>21</v>
      </c>
      <c r="H88" t="s">
        <v>54</v>
      </c>
      <c r="I88" t="s">
        <v>23</v>
      </c>
      <c r="J88" t="s">
        <v>82</v>
      </c>
      <c r="K88" t="s">
        <v>49</v>
      </c>
      <c r="L88" t="s">
        <v>26</v>
      </c>
      <c r="M88" t="s">
        <v>50</v>
      </c>
      <c r="N88" t="s">
        <v>51</v>
      </c>
      <c r="O88" s="2">
        <v>490.74</v>
      </c>
      <c r="P88">
        <v>2</v>
      </c>
      <c r="Q88" s="3">
        <v>0.1</v>
      </c>
      <c r="R88" s="2">
        <v>6.87</v>
      </c>
    </row>
    <row r="89" spans="1:18" x14ac:dyDescent="0.25">
      <c r="A89">
        <v>88</v>
      </c>
      <c r="B89" t="s">
        <v>224</v>
      </c>
      <c r="C89" s="5">
        <v>45713</v>
      </c>
      <c r="D89" s="5">
        <v>45715</v>
      </c>
      <c r="E89" t="s">
        <v>65</v>
      </c>
      <c r="F89" t="s">
        <v>217</v>
      </c>
      <c r="G89" t="s">
        <v>39</v>
      </c>
      <c r="H89" t="s">
        <v>54</v>
      </c>
      <c r="I89" t="s">
        <v>23</v>
      </c>
      <c r="J89" t="s">
        <v>147</v>
      </c>
      <c r="K89" t="s">
        <v>90</v>
      </c>
      <c r="L89" t="s">
        <v>62</v>
      </c>
      <c r="M89" t="s">
        <v>42</v>
      </c>
      <c r="N89" t="s">
        <v>43</v>
      </c>
      <c r="O89" s="2">
        <v>1649.16</v>
      </c>
      <c r="P89">
        <v>4</v>
      </c>
      <c r="Q89" s="3">
        <v>0.2</v>
      </c>
      <c r="R89" s="2">
        <v>-177.9</v>
      </c>
    </row>
    <row r="90" spans="1:18" x14ac:dyDescent="0.25">
      <c r="A90">
        <v>89</v>
      </c>
      <c r="B90" t="s">
        <v>225</v>
      </c>
      <c r="C90" s="5">
        <v>45717</v>
      </c>
      <c r="D90" s="5">
        <v>45719</v>
      </c>
      <c r="E90" t="s">
        <v>45</v>
      </c>
      <c r="F90" t="s">
        <v>203</v>
      </c>
      <c r="G90" t="s">
        <v>77</v>
      </c>
      <c r="H90" t="s">
        <v>74</v>
      </c>
      <c r="I90" t="s">
        <v>23</v>
      </c>
      <c r="J90" t="s">
        <v>168</v>
      </c>
      <c r="K90" t="s">
        <v>25</v>
      </c>
      <c r="L90" t="s">
        <v>26</v>
      </c>
      <c r="M90" t="s">
        <v>42</v>
      </c>
      <c r="N90" t="s">
        <v>43</v>
      </c>
      <c r="O90" s="2">
        <v>1792.75</v>
      </c>
      <c r="P90">
        <v>2</v>
      </c>
      <c r="Q90" s="3">
        <v>0</v>
      </c>
      <c r="R90" s="2">
        <v>-31.95</v>
      </c>
    </row>
    <row r="91" spans="1:18" x14ac:dyDescent="0.25">
      <c r="A91">
        <v>90</v>
      </c>
      <c r="B91" t="s">
        <v>226</v>
      </c>
      <c r="C91" s="5">
        <v>46014</v>
      </c>
      <c r="D91" s="5">
        <v>46019</v>
      </c>
      <c r="E91" t="s">
        <v>65</v>
      </c>
      <c r="F91" t="s">
        <v>227</v>
      </c>
      <c r="G91" t="s">
        <v>81</v>
      </c>
      <c r="H91" t="s">
        <v>54</v>
      </c>
      <c r="I91" t="s">
        <v>23</v>
      </c>
      <c r="J91" t="s">
        <v>68</v>
      </c>
      <c r="K91" t="s">
        <v>69</v>
      </c>
      <c r="L91" t="s">
        <v>70</v>
      </c>
      <c r="M91" t="s">
        <v>27</v>
      </c>
      <c r="N91" t="s">
        <v>63</v>
      </c>
      <c r="O91" s="2">
        <v>1596.04</v>
      </c>
      <c r="P91">
        <v>2</v>
      </c>
      <c r="Q91" s="3">
        <v>0.3</v>
      </c>
      <c r="R91" s="2">
        <v>41.93</v>
      </c>
    </row>
    <row r="92" spans="1:18" x14ac:dyDescent="0.25">
      <c r="A92">
        <v>91</v>
      </c>
      <c r="B92" t="s">
        <v>228</v>
      </c>
      <c r="C92" s="5">
        <v>45769</v>
      </c>
      <c r="D92" s="5">
        <v>45773</v>
      </c>
      <c r="E92" t="s">
        <v>30</v>
      </c>
      <c r="F92" t="s">
        <v>106</v>
      </c>
      <c r="G92" t="s">
        <v>21</v>
      </c>
      <c r="H92" t="s">
        <v>74</v>
      </c>
      <c r="I92" t="s">
        <v>23</v>
      </c>
      <c r="J92" t="s">
        <v>89</v>
      </c>
      <c r="K92" t="s">
        <v>90</v>
      </c>
      <c r="L92" t="s">
        <v>62</v>
      </c>
      <c r="M92" t="s">
        <v>42</v>
      </c>
      <c r="N92" t="s">
        <v>43</v>
      </c>
      <c r="O92" s="2">
        <v>196.85</v>
      </c>
      <c r="P92">
        <v>6</v>
      </c>
      <c r="Q92" s="3">
        <v>0.15</v>
      </c>
      <c r="R92" s="2">
        <v>38.01</v>
      </c>
    </row>
    <row r="93" spans="1:18" x14ac:dyDescent="0.25">
      <c r="A93">
        <v>92</v>
      </c>
      <c r="B93" t="s">
        <v>229</v>
      </c>
      <c r="C93" s="5">
        <v>45720</v>
      </c>
      <c r="D93" s="5">
        <v>45724</v>
      </c>
      <c r="E93" t="s">
        <v>30</v>
      </c>
      <c r="F93" t="s">
        <v>230</v>
      </c>
      <c r="G93" t="s">
        <v>85</v>
      </c>
      <c r="H93" t="s">
        <v>54</v>
      </c>
      <c r="I93" t="s">
        <v>23</v>
      </c>
      <c r="J93" t="s">
        <v>48</v>
      </c>
      <c r="K93" t="s">
        <v>49</v>
      </c>
      <c r="L93" t="s">
        <v>26</v>
      </c>
      <c r="M93" t="s">
        <v>27</v>
      </c>
      <c r="N93" t="s">
        <v>63</v>
      </c>
      <c r="O93" s="2">
        <v>1162.23</v>
      </c>
      <c r="P93">
        <v>10</v>
      </c>
      <c r="Q93" s="3">
        <v>0</v>
      </c>
      <c r="R93" s="2">
        <v>-95.65</v>
      </c>
    </row>
    <row r="94" spans="1:18" x14ac:dyDescent="0.25">
      <c r="A94">
        <v>93</v>
      </c>
      <c r="B94" t="s">
        <v>231</v>
      </c>
      <c r="C94" s="5">
        <v>45693</v>
      </c>
      <c r="D94" s="5">
        <v>45698</v>
      </c>
      <c r="E94" t="s">
        <v>19</v>
      </c>
      <c r="F94" t="s">
        <v>227</v>
      </c>
      <c r="G94" t="s">
        <v>135</v>
      </c>
      <c r="H94" t="s">
        <v>22</v>
      </c>
      <c r="I94" t="s">
        <v>23</v>
      </c>
      <c r="J94" t="s">
        <v>55</v>
      </c>
      <c r="K94" t="s">
        <v>34</v>
      </c>
      <c r="L94" t="s">
        <v>35</v>
      </c>
      <c r="M94" t="s">
        <v>27</v>
      </c>
      <c r="N94" t="s">
        <v>63</v>
      </c>
      <c r="O94" s="2">
        <v>1467.23</v>
      </c>
      <c r="P94">
        <v>4</v>
      </c>
      <c r="Q94" s="3">
        <v>0.05</v>
      </c>
      <c r="R94" s="2">
        <v>239.93</v>
      </c>
    </row>
    <row r="95" spans="1:18" x14ac:dyDescent="0.25">
      <c r="A95">
        <v>94</v>
      </c>
      <c r="B95" t="s">
        <v>232</v>
      </c>
      <c r="C95" s="5">
        <v>45934</v>
      </c>
      <c r="D95" s="5">
        <v>45937</v>
      </c>
      <c r="E95" t="s">
        <v>30</v>
      </c>
      <c r="F95" t="s">
        <v>233</v>
      </c>
      <c r="G95" t="s">
        <v>85</v>
      </c>
      <c r="H95" t="s">
        <v>74</v>
      </c>
      <c r="I95" t="s">
        <v>23</v>
      </c>
      <c r="J95" t="s">
        <v>75</v>
      </c>
      <c r="K95" t="s">
        <v>41</v>
      </c>
      <c r="L95" t="s">
        <v>35</v>
      </c>
      <c r="M95" t="s">
        <v>42</v>
      </c>
      <c r="N95" t="s">
        <v>91</v>
      </c>
      <c r="O95" s="2">
        <v>254.61</v>
      </c>
      <c r="P95">
        <v>6</v>
      </c>
      <c r="Q95" s="3">
        <v>0.3</v>
      </c>
      <c r="R95" s="2">
        <v>33.340000000000003</v>
      </c>
    </row>
    <row r="96" spans="1:18" x14ac:dyDescent="0.25">
      <c r="A96">
        <v>95</v>
      </c>
      <c r="B96" t="s">
        <v>234</v>
      </c>
      <c r="C96" s="5">
        <v>45722</v>
      </c>
      <c r="D96" s="5">
        <v>45726</v>
      </c>
      <c r="E96" t="s">
        <v>65</v>
      </c>
      <c r="F96" t="s">
        <v>208</v>
      </c>
      <c r="G96" t="s">
        <v>104</v>
      </c>
      <c r="H96" t="s">
        <v>54</v>
      </c>
      <c r="I96" t="s">
        <v>23</v>
      </c>
      <c r="J96" t="s">
        <v>60</v>
      </c>
      <c r="K96" t="s">
        <v>61</v>
      </c>
      <c r="L96" t="s">
        <v>62</v>
      </c>
      <c r="M96" t="s">
        <v>42</v>
      </c>
      <c r="N96" t="s">
        <v>91</v>
      </c>
      <c r="O96" s="2">
        <v>867.72</v>
      </c>
      <c r="P96">
        <v>6</v>
      </c>
      <c r="Q96" s="3">
        <v>0.15</v>
      </c>
      <c r="R96" s="2">
        <v>74</v>
      </c>
    </row>
    <row r="97" spans="1:18" x14ac:dyDescent="0.25">
      <c r="A97">
        <v>96</v>
      </c>
      <c r="B97" t="s">
        <v>235</v>
      </c>
      <c r="C97" s="5">
        <v>45995</v>
      </c>
      <c r="D97" s="5">
        <v>46000</v>
      </c>
      <c r="E97" t="s">
        <v>65</v>
      </c>
      <c r="F97" t="s">
        <v>58</v>
      </c>
      <c r="G97" t="s">
        <v>47</v>
      </c>
      <c r="H97" t="s">
        <v>74</v>
      </c>
      <c r="I97" t="s">
        <v>23</v>
      </c>
      <c r="J97" t="s">
        <v>179</v>
      </c>
      <c r="K97" t="s">
        <v>98</v>
      </c>
      <c r="L97" t="s">
        <v>70</v>
      </c>
      <c r="M97" t="s">
        <v>50</v>
      </c>
      <c r="N97" t="s">
        <v>99</v>
      </c>
      <c r="O97" s="2">
        <v>1735.97</v>
      </c>
      <c r="P97">
        <v>1</v>
      </c>
      <c r="Q97" s="3">
        <v>0.1</v>
      </c>
      <c r="R97" s="2">
        <v>315.17</v>
      </c>
    </row>
    <row r="98" spans="1:18" x14ac:dyDescent="0.25">
      <c r="A98">
        <v>97</v>
      </c>
      <c r="B98" t="s">
        <v>236</v>
      </c>
      <c r="C98" s="5">
        <v>45695</v>
      </c>
      <c r="D98" s="5">
        <v>45696</v>
      </c>
      <c r="E98" t="s">
        <v>30</v>
      </c>
      <c r="F98" t="s">
        <v>203</v>
      </c>
      <c r="G98" t="s">
        <v>139</v>
      </c>
      <c r="H98" t="s">
        <v>54</v>
      </c>
      <c r="I98" t="s">
        <v>23</v>
      </c>
      <c r="J98" t="s">
        <v>107</v>
      </c>
      <c r="K98" t="s">
        <v>108</v>
      </c>
      <c r="L98" t="s">
        <v>70</v>
      </c>
      <c r="M98" t="s">
        <v>27</v>
      </c>
      <c r="N98" t="s">
        <v>63</v>
      </c>
      <c r="O98" s="2">
        <v>136.91</v>
      </c>
      <c r="P98">
        <v>5</v>
      </c>
      <c r="Q98" s="3">
        <v>0.15</v>
      </c>
      <c r="R98" s="2">
        <v>13.56</v>
      </c>
    </row>
    <row r="99" spans="1:18" x14ac:dyDescent="0.25">
      <c r="A99">
        <v>98</v>
      </c>
      <c r="B99" t="s">
        <v>237</v>
      </c>
      <c r="C99" s="5">
        <v>45890</v>
      </c>
      <c r="D99" s="5">
        <v>45895</v>
      </c>
      <c r="E99" t="s">
        <v>45</v>
      </c>
      <c r="F99" t="s">
        <v>138</v>
      </c>
      <c r="G99" t="s">
        <v>77</v>
      </c>
      <c r="H99" t="s">
        <v>22</v>
      </c>
      <c r="I99" t="s">
        <v>23</v>
      </c>
      <c r="J99" t="s">
        <v>176</v>
      </c>
      <c r="K99" t="s">
        <v>162</v>
      </c>
      <c r="L99" t="s">
        <v>62</v>
      </c>
      <c r="M99" t="s">
        <v>50</v>
      </c>
      <c r="N99" t="s">
        <v>51</v>
      </c>
      <c r="O99" s="2">
        <v>1431.71</v>
      </c>
      <c r="P99">
        <v>2</v>
      </c>
      <c r="Q99" s="3">
        <v>0.3</v>
      </c>
      <c r="R99" s="2">
        <v>120.48</v>
      </c>
    </row>
    <row r="100" spans="1:18" x14ac:dyDescent="0.25">
      <c r="A100">
        <v>99</v>
      </c>
      <c r="B100" t="s">
        <v>238</v>
      </c>
      <c r="C100" s="5">
        <v>45831</v>
      </c>
      <c r="D100" s="5">
        <v>45835</v>
      </c>
      <c r="E100" t="s">
        <v>30</v>
      </c>
      <c r="F100" t="s">
        <v>205</v>
      </c>
      <c r="G100" t="s">
        <v>127</v>
      </c>
      <c r="H100" t="s">
        <v>74</v>
      </c>
      <c r="I100" t="s">
        <v>23</v>
      </c>
      <c r="J100" t="s">
        <v>239</v>
      </c>
      <c r="K100" t="s">
        <v>69</v>
      </c>
      <c r="L100" t="s">
        <v>70</v>
      </c>
      <c r="M100" t="s">
        <v>50</v>
      </c>
      <c r="N100" t="s">
        <v>99</v>
      </c>
      <c r="O100" s="2">
        <v>189.25</v>
      </c>
      <c r="P100">
        <v>7</v>
      </c>
      <c r="Q100" s="3">
        <v>0.05</v>
      </c>
      <c r="R100" s="2">
        <v>23.71</v>
      </c>
    </row>
    <row r="101" spans="1:18" x14ac:dyDescent="0.25">
      <c r="A101">
        <v>100</v>
      </c>
      <c r="B101" t="s">
        <v>240</v>
      </c>
      <c r="C101" s="5">
        <v>45704</v>
      </c>
      <c r="D101" s="5">
        <v>45705</v>
      </c>
      <c r="E101" t="s">
        <v>19</v>
      </c>
      <c r="F101" t="s">
        <v>20</v>
      </c>
      <c r="G101" t="s">
        <v>73</v>
      </c>
      <c r="H101" t="s">
        <v>54</v>
      </c>
      <c r="I101" t="s">
        <v>23</v>
      </c>
      <c r="J101" t="s">
        <v>82</v>
      </c>
      <c r="K101" t="s">
        <v>49</v>
      </c>
      <c r="L101" t="s">
        <v>26</v>
      </c>
      <c r="M101" t="s">
        <v>50</v>
      </c>
      <c r="N101" t="s">
        <v>51</v>
      </c>
      <c r="O101" s="2">
        <v>1345.37</v>
      </c>
      <c r="P101">
        <v>6</v>
      </c>
      <c r="Q101" s="3">
        <v>0.3</v>
      </c>
      <c r="R101" s="2">
        <v>-133.81</v>
      </c>
    </row>
    <row r="102" spans="1:18" x14ac:dyDescent="0.25">
      <c r="A102">
        <v>101</v>
      </c>
      <c r="B102" t="s">
        <v>241</v>
      </c>
      <c r="C102" s="5">
        <v>46001</v>
      </c>
      <c r="D102" s="5">
        <v>46002</v>
      </c>
      <c r="E102" t="s">
        <v>19</v>
      </c>
      <c r="F102" t="s">
        <v>122</v>
      </c>
      <c r="G102" t="s">
        <v>139</v>
      </c>
      <c r="H102" t="s">
        <v>74</v>
      </c>
      <c r="I102" t="s">
        <v>23</v>
      </c>
      <c r="J102" t="s">
        <v>68</v>
      </c>
      <c r="K102" t="s">
        <v>69</v>
      </c>
      <c r="L102" t="s">
        <v>70</v>
      </c>
      <c r="M102" t="s">
        <v>50</v>
      </c>
      <c r="N102" t="s">
        <v>99</v>
      </c>
      <c r="O102" s="2">
        <v>1695.21</v>
      </c>
      <c r="P102">
        <v>7</v>
      </c>
      <c r="Q102" s="3">
        <v>0.3</v>
      </c>
      <c r="R102" s="2">
        <v>297.58999999999997</v>
      </c>
    </row>
    <row r="103" spans="1:18" x14ac:dyDescent="0.25">
      <c r="A103">
        <v>102</v>
      </c>
      <c r="B103" t="s">
        <v>242</v>
      </c>
      <c r="C103" s="5">
        <v>45711</v>
      </c>
      <c r="D103" s="5">
        <v>45716</v>
      </c>
      <c r="E103" t="s">
        <v>30</v>
      </c>
      <c r="F103" t="s">
        <v>129</v>
      </c>
      <c r="G103" t="s">
        <v>32</v>
      </c>
      <c r="H103" t="s">
        <v>74</v>
      </c>
      <c r="I103" t="s">
        <v>23</v>
      </c>
      <c r="J103" t="s">
        <v>60</v>
      </c>
      <c r="K103" t="s">
        <v>61</v>
      </c>
      <c r="L103" t="s">
        <v>62</v>
      </c>
      <c r="M103" t="s">
        <v>42</v>
      </c>
      <c r="N103" t="s">
        <v>113</v>
      </c>
      <c r="O103" s="2">
        <v>1188.99</v>
      </c>
      <c r="P103">
        <v>4</v>
      </c>
      <c r="Q103" s="3">
        <v>0.3</v>
      </c>
      <c r="R103" s="2">
        <v>-127.37</v>
      </c>
    </row>
    <row r="104" spans="1:18" x14ac:dyDescent="0.25">
      <c r="A104">
        <v>103</v>
      </c>
      <c r="B104" t="s">
        <v>243</v>
      </c>
      <c r="C104" s="5">
        <v>45877</v>
      </c>
      <c r="D104" s="5">
        <v>45882</v>
      </c>
      <c r="E104" t="s">
        <v>30</v>
      </c>
      <c r="F104" t="s">
        <v>101</v>
      </c>
      <c r="G104" t="s">
        <v>59</v>
      </c>
      <c r="H104" t="s">
        <v>22</v>
      </c>
      <c r="I104" t="s">
        <v>23</v>
      </c>
      <c r="J104" t="s">
        <v>161</v>
      </c>
      <c r="K104" t="s">
        <v>162</v>
      </c>
      <c r="L104" t="s">
        <v>62</v>
      </c>
      <c r="M104" t="s">
        <v>27</v>
      </c>
      <c r="N104" t="s">
        <v>36</v>
      </c>
      <c r="O104" s="2">
        <v>1104.01</v>
      </c>
      <c r="P104">
        <v>5</v>
      </c>
      <c r="Q104" s="3">
        <v>0</v>
      </c>
      <c r="R104" s="2">
        <v>-40.69</v>
      </c>
    </row>
    <row r="105" spans="1:18" x14ac:dyDescent="0.25">
      <c r="A105">
        <v>104</v>
      </c>
      <c r="B105" t="s">
        <v>244</v>
      </c>
      <c r="C105" s="5">
        <v>45731</v>
      </c>
      <c r="D105" s="5">
        <v>45736</v>
      </c>
      <c r="E105" t="s">
        <v>45</v>
      </c>
      <c r="F105" t="s">
        <v>203</v>
      </c>
      <c r="G105" t="s">
        <v>21</v>
      </c>
      <c r="H105" t="s">
        <v>74</v>
      </c>
      <c r="I105" t="s">
        <v>23</v>
      </c>
      <c r="J105" t="s">
        <v>68</v>
      </c>
      <c r="K105" t="s">
        <v>69</v>
      </c>
      <c r="L105" t="s">
        <v>70</v>
      </c>
      <c r="M105" t="s">
        <v>42</v>
      </c>
      <c r="N105" t="s">
        <v>113</v>
      </c>
      <c r="O105" s="2">
        <v>1338.92</v>
      </c>
      <c r="P105">
        <v>1</v>
      </c>
      <c r="Q105" s="3">
        <v>0</v>
      </c>
      <c r="R105" s="2">
        <v>215.75</v>
      </c>
    </row>
    <row r="106" spans="1:18" x14ac:dyDescent="0.25">
      <c r="A106">
        <v>105</v>
      </c>
      <c r="B106" t="s">
        <v>245</v>
      </c>
      <c r="C106" s="5">
        <v>45738</v>
      </c>
      <c r="D106" s="5">
        <v>45741</v>
      </c>
      <c r="E106" t="s">
        <v>19</v>
      </c>
      <c r="F106" t="s">
        <v>205</v>
      </c>
      <c r="G106" t="s">
        <v>85</v>
      </c>
      <c r="H106" t="s">
        <v>54</v>
      </c>
      <c r="I106" t="s">
        <v>23</v>
      </c>
      <c r="J106" t="s">
        <v>97</v>
      </c>
      <c r="K106" t="s">
        <v>98</v>
      </c>
      <c r="L106" t="s">
        <v>70</v>
      </c>
      <c r="M106" t="s">
        <v>27</v>
      </c>
      <c r="N106" t="s">
        <v>28</v>
      </c>
      <c r="O106" s="2">
        <v>1402.77</v>
      </c>
      <c r="P106">
        <v>10</v>
      </c>
      <c r="Q106" s="3">
        <v>0.15</v>
      </c>
      <c r="R106" s="2">
        <v>-130.13</v>
      </c>
    </row>
    <row r="107" spans="1:18" x14ac:dyDescent="0.25">
      <c r="A107">
        <v>106</v>
      </c>
      <c r="B107" t="s">
        <v>246</v>
      </c>
      <c r="C107" s="5">
        <v>46003</v>
      </c>
      <c r="D107" s="5">
        <v>46004</v>
      </c>
      <c r="E107" t="s">
        <v>45</v>
      </c>
      <c r="F107" t="s">
        <v>84</v>
      </c>
      <c r="G107" t="s">
        <v>73</v>
      </c>
      <c r="H107" t="s">
        <v>22</v>
      </c>
      <c r="I107" t="s">
        <v>23</v>
      </c>
      <c r="J107" t="s">
        <v>179</v>
      </c>
      <c r="K107" t="s">
        <v>98</v>
      </c>
      <c r="L107" t="s">
        <v>70</v>
      </c>
      <c r="M107" t="s">
        <v>50</v>
      </c>
      <c r="N107" t="s">
        <v>99</v>
      </c>
      <c r="O107" s="2">
        <v>774.75</v>
      </c>
      <c r="P107">
        <v>10</v>
      </c>
      <c r="Q107" s="3">
        <v>0.1</v>
      </c>
      <c r="R107" s="2">
        <v>23.21</v>
      </c>
    </row>
    <row r="108" spans="1:18" x14ac:dyDescent="0.25">
      <c r="A108">
        <v>107</v>
      </c>
      <c r="B108" t="s">
        <v>247</v>
      </c>
      <c r="C108" s="5">
        <v>45878</v>
      </c>
      <c r="D108" s="5">
        <v>45879</v>
      </c>
      <c r="E108" t="s">
        <v>19</v>
      </c>
      <c r="F108" t="s">
        <v>31</v>
      </c>
      <c r="G108" t="s">
        <v>104</v>
      </c>
      <c r="H108" t="s">
        <v>74</v>
      </c>
      <c r="I108" t="s">
        <v>23</v>
      </c>
      <c r="J108" t="s">
        <v>97</v>
      </c>
      <c r="K108" t="s">
        <v>98</v>
      </c>
      <c r="L108" t="s">
        <v>70</v>
      </c>
      <c r="M108" t="s">
        <v>27</v>
      </c>
      <c r="N108" t="s">
        <v>94</v>
      </c>
      <c r="O108" s="2">
        <v>957.94</v>
      </c>
      <c r="P108">
        <v>5</v>
      </c>
      <c r="Q108" s="3">
        <v>0</v>
      </c>
      <c r="R108" s="2">
        <v>-21.86</v>
      </c>
    </row>
    <row r="109" spans="1:18" x14ac:dyDescent="0.25">
      <c r="A109">
        <v>108</v>
      </c>
      <c r="B109" t="s">
        <v>248</v>
      </c>
      <c r="C109" s="5">
        <v>45728</v>
      </c>
      <c r="D109" s="5">
        <v>45731</v>
      </c>
      <c r="E109" t="s">
        <v>45</v>
      </c>
      <c r="F109" t="s">
        <v>208</v>
      </c>
      <c r="G109" t="s">
        <v>73</v>
      </c>
      <c r="H109" t="s">
        <v>54</v>
      </c>
      <c r="I109" t="s">
        <v>23</v>
      </c>
      <c r="J109" t="s">
        <v>179</v>
      </c>
      <c r="K109" t="s">
        <v>98</v>
      </c>
      <c r="L109" t="s">
        <v>70</v>
      </c>
      <c r="M109" t="s">
        <v>50</v>
      </c>
      <c r="N109" t="s">
        <v>51</v>
      </c>
      <c r="O109" s="2">
        <v>33.76</v>
      </c>
      <c r="P109">
        <v>7</v>
      </c>
      <c r="Q109" s="3">
        <v>0</v>
      </c>
      <c r="R109" s="2">
        <v>-1.85</v>
      </c>
    </row>
    <row r="110" spans="1:18" x14ac:dyDescent="0.25">
      <c r="A110">
        <v>109</v>
      </c>
      <c r="B110" t="s">
        <v>249</v>
      </c>
      <c r="C110" s="5">
        <v>45694</v>
      </c>
      <c r="D110" s="5">
        <v>45698</v>
      </c>
      <c r="E110" t="s">
        <v>65</v>
      </c>
      <c r="F110" t="s">
        <v>195</v>
      </c>
      <c r="G110" t="s">
        <v>21</v>
      </c>
      <c r="H110" t="s">
        <v>54</v>
      </c>
      <c r="I110" t="s">
        <v>23</v>
      </c>
      <c r="J110" t="s">
        <v>168</v>
      </c>
      <c r="K110" t="s">
        <v>25</v>
      </c>
      <c r="L110" t="s">
        <v>26</v>
      </c>
      <c r="M110" t="s">
        <v>50</v>
      </c>
      <c r="N110" t="s">
        <v>51</v>
      </c>
      <c r="O110" s="2">
        <v>838.36</v>
      </c>
      <c r="P110">
        <v>2</v>
      </c>
      <c r="Q110" s="3">
        <v>0.3</v>
      </c>
      <c r="R110" s="2">
        <v>-29.7</v>
      </c>
    </row>
    <row r="111" spans="1:18" x14ac:dyDescent="0.25">
      <c r="A111">
        <v>110</v>
      </c>
      <c r="B111" t="s">
        <v>250</v>
      </c>
      <c r="C111" s="5">
        <v>45871</v>
      </c>
      <c r="D111" s="5">
        <v>45874</v>
      </c>
      <c r="E111" t="s">
        <v>65</v>
      </c>
      <c r="F111" t="s">
        <v>217</v>
      </c>
      <c r="G111" t="s">
        <v>67</v>
      </c>
      <c r="H111" t="s">
        <v>74</v>
      </c>
      <c r="I111" t="s">
        <v>23</v>
      </c>
      <c r="J111" t="s">
        <v>48</v>
      </c>
      <c r="K111" t="s">
        <v>49</v>
      </c>
      <c r="L111" t="s">
        <v>26</v>
      </c>
      <c r="M111" t="s">
        <v>50</v>
      </c>
      <c r="N111" t="s">
        <v>51</v>
      </c>
      <c r="O111" s="2">
        <v>1739.84</v>
      </c>
      <c r="P111">
        <v>3</v>
      </c>
      <c r="Q111" s="3">
        <v>0.3</v>
      </c>
      <c r="R111" s="2">
        <v>324.77</v>
      </c>
    </row>
    <row r="112" spans="1:18" x14ac:dyDescent="0.25">
      <c r="A112">
        <v>111</v>
      </c>
      <c r="B112" t="s">
        <v>251</v>
      </c>
      <c r="C112" s="5">
        <v>45881</v>
      </c>
      <c r="D112" s="5">
        <v>45882</v>
      </c>
      <c r="E112" t="s">
        <v>30</v>
      </c>
      <c r="F112" t="s">
        <v>96</v>
      </c>
      <c r="G112" t="s">
        <v>59</v>
      </c>
      <c r="H112" t="s">
        <v>22</v>
      </c>
      <c r="I112" t="s">
        <v>23</v>
      </c>
      <c r="J112" t="s">
        <v>55</v>
      </c>
      <c r="K112" t="s">
        <v>34</v>
      </c>
      <c r="L112" t="s">
        <v>35</v>
      </c>
      <c r="M112" t="s">
        <v>50</v>
      </c>
      <c r="N112" t="s">
        <v>156</v>
      </c>
      <c r="O112" s="2">
        <v>732.8</v>
      </c>
      <c r="P112">
        <v>2</v>
      </c>
      <c r="Q112" s="3">
        <v>0.1</v>
      </c>
      <c r="R112" s="2">
        <v>139</v>
      </c>
    </row>
    <row r="113" spans="1:18" x14ac:dyDescent="0.25">
      <c r="A113">
        <v>112</v>
      </c>
      <c r="B113" t="s">
        <v>252</v>
      </c>
      <c r="C113" s="5">
        <v>45919</v>
      </c>
      <c r="D113" s="5">
        <v>45920</v>
      </c>
      <c r="E113" t="s">
        <v>45</v>
      </c>
      <c r="F113" t="s">
        <v>230</v>
      </c>
      <c r="G113" t="s">
        <v>47</v>
      </c>
      <c r="H113" t="s">
        <v>22</v>
      </c>
      <c r="I113" t="s">
        <v>23</v>
      </c>
      <c r="J113" t="s">
        <v>155</v>
      </c>
      <c r="K113" t="s">
        <v>61</v>
      </c>
      <c r="L113" t="s">
        <v>62</v>
      </c>
      <c r="M113" t="s">
        <v>27</v>
      </c>
      <c r="N113" t="s">
        <v>63</v>
      </c>
      <c r="O113" s="2">
        <v>1632.54</v>
      </c>
      <c r="P113">
        <v>6</v>
      </c>
      <c r="Q113" s="3">
        <v>0.05</v>
      </c>
      <c r="R113" s="2">
        <v>240.12</v>
      </c>
    </row>
    <row r="114" spans="1:18" x14ac:dyDescent="0.25">
      <c r="A114">
        <v>113</v>
      </c>
      <c r="B114" t="s">
        <v>253</v>
      </c>
      <c r="C114" s="5">
        <v>45759</v>
      </c>
      <c r="D114" s="5">
        <v>45761</v>
      </c>
      <c r="E114" t="s">
        <v>65</v>
      </c>
      <c r="F114" t="s">
        <v>58</v>
      </c>
      <c r="G114" t="s">
        <v>67</v>
      </c>
      <c r="H114" t="s">
        <v>54</v>
      </c>
      <c r="I114" t="s">
        <v>23</v>
      </c>
      <c r="J114" t="s">
        <v>176</v>
      </c>
      <c r="K114" t="s">
        <v>162</v>
      </c>
      <c r="L114" t="s">
        <v>62</v>
      </c>
      <c r="M114" t="s">
        <v>42</v>
      </c>
      <c r="N114" t="s">
        <v>91</v>
      </c>
      <c r="O114" s="2">
        <v>335.32</v>
      </c>
      <c r="P114">
        <v>8</v>
      </c>
      <c r="Q114" s="3">
        <v>0.1</v>
      </c>
      <c r="R114" s="2">
        <v>49.98</v>
      </c>
    </row>
    <row r="115" spans="1:18" x14ac:dyDescent="0.25">
      <c r="A115">
        <v>114</v>
      </c>
      <c r="B115" t="s">
        <v>254</v>
      </c>
      <c r="C115" s="5">
        <v>45979</v>
      </c>
      <c r="D115" s="5">
        <v>45982</v>
      </c>
      <c r="E115" t="s">
        <v>19</v>
      </c>
      <c r="F115" t="s">
        <v>131</v>
      </c>
      <c r="G115" t="s">
        <v>73</v>
      </c>
      <c r="H115" t="s">
        <v>22</v>
      </c>
      <c r="I115" t="s">
        <v>23</v>
      </c>
      <c r="J115" t="s">
        <v>78</v>
      </c>
      <c r="K115" t="s">
        <v>41</v>
      </c>
      <c r="L115" t="s">
        <v>35</v>
      </c>
      <c r="M115" t="s">
        <v>50</v>
      </c>
      <c r="N115" t="s">
        <v>51</v>
      </c>
      <c r="O115" s="2">
        <v>854.68</v>
      </c>
      <c r="P115">
        <v>5</v>
      </c>
      <c r="Q115" s="3">
        <v>0.3</v>
      </c>
      <c r="R115" s="2">
        <v>-41.76</v>
      </c>
    </row>
    <row r="116" spans="1:18" x14ac:dyDescent="0.25">
      <c r="A116">
        <v>115</v>
      </c>
      <c r="B116" t="s">
        <v>255</v>
      </c>
      <c r="C116" s="5">
        <v>45894</v>
      </c>
      <c r="D116" s="5">
        <v>45898</v>
      </c>
      <c r="E116" t="s">
        <v>19</v>
      </c>
      <c r="F116" t="s">
        <v>118</v>
      </c>
      <c r="G116" t="s">
        <v>139</v>
      </c>
      <c r="H116" t="s">
        <v>54</v>
      </c>
      <c r="I116" t="s">
        <v>23</v>
      </c>
      <c r="J116" t="s">
        <v>125</v>
      </c>
      <c r="K116" t="s">
        <v>25</v>
      </c>
      <c r="L116" t="s">
        <v>26</v>
      </c>
      <c r="M116" t="s">
        <v>42</v>
      </c>
      <c r="N116" t="s">
        <v>43</v>
      </c>
      <c r="O116" s="2">
        <v>1500.42</v>
      </c>
      <c r="P116">
        <v>2</v>
      </c>
      <c r="Q116" s="3">
        <v>0.2</v>
      </c>
      <c r="R116" s="2">
        <v>258.8</v>
      </c>
    </row>
    <row r="117" spans="1:18" x14ac:dyDescent="0.25">
      <c r="A117">
        <v>116</v>
      </c>
      <c r="B117" t="s">
        <v>256</v>
      </c>
      <c r="C117" s="5">
        <v>45894</v>
      </c>
      <c r="D117" s="5">
        <v>45899</v>
      </c>
      <c r="E117" t="s">
        <v>65</v>
      </c>
      <c r="F117" t="s">
        <v>208</v>
      </c>
      <c r="G117" t="s">
        <v>85</v>
      </c>
      <c r="H117" t="s">
        <v>22</v>
      </c>
      <c r="I117" t="s">
        <v>23</v>
      </c>
      <c r="J117" t="s">
        <v>155</v>
      </c>
      <c r="K117" t="s">
        <v>61</v>
      </c>
      <c r="L117" t="s">
        <v>62</v>
      </c>
      <c r="M117" t="s">
        <v>27</v>
      </c>
      <c r="N117" t="s">
        <v>36</v>
      </c>
      <c r="O117" s="2">
        <v>820.53</v>
      </c>
      <c r="P117">
        <v>10</v>
      </c>
      <c r="Q117" s="3">
        <v>0.2</v>
      </c>
      <c r="R117" s="2">
        <v>-52.61</v>
      </c>
    </row>
    <row r="118" spans="1:18" x14ac:dyDescent="0.25">
      <c r="A118">
        <v>117</v>
      </c>
      <c r="B118" t="s">
        <v>257</v>
      </c>
      <c r="C118" s="5">
        <v>45710</v>
      </c>
      <c r="D118" s="5">
        <v>45713</v>
      </c>
      <c r="E118" t="s">
        <v>45</v>
      </c>
      <c r="F118" t="s">
        <v>141</v>
      </c>
      <c r="G118" t="s">
        <v>59</v>
      </c>
      <c r="H118" t="s">
        <v>74</v>
      </c>
      <c r="I118" t="s">
        <v>23</v>
      </c>
      <c r="J118" t="s">
        <v>82</v>
      </c>
      <c r="K118" t="s">
        <v>49</v>
      </c>
      <c r="L118" t="s">
        <v>26</v>
      </c>
      <c r="M118" t="s">
        <v>27</v>
      </c>
      <c r="N118" t="s">
        <v>63</v>
      </c>
      <c r="O118" s="2">
        <v>89.67</v>
      </c>
      <c r="P118">
        <v>8</v>
      </c>
      <c r="Q118" s="3">
        <v>0.1</v>
      </c>
      <c r="R118" s="2">
        <v>6.14</v>
      </c>
    </row>
    <row r="119" spans="1:18" x14ac:dyDescent="0.25">
      <c r="A119">
        <v>118</v>
      </c>
      <c r="B119" t="s">
        <v>258</v>
      </c>
      <c r="C119" s="5">
        <v>45867</v>
      </c>
      <c r="D119" s="5">
        <v>45870</v>
      </c>
      <c r="E119" t="s">
        <v>30</v>
      </c>
      <c r="F119" t="s">
        <v>154</v>
      </c>
      <c r="G119" t="s">
        <v>88</v>
      </c>
      <c r="H119" t="s">
        <v>54</v>
      </c>
      <c r="I119" t="s">
        <v>23</v>
      </c>
      <c r="J119" t="s">
        <v>161</v>
      </c>
      <c r="K119" t="s">
        <v>162</v>
      </c>
      <c r="L119" t="s">
        <v>62</v>
      </c>
      <c r="M119" t="s">
        <v>42</v>
      </c>
      <c r="N119" t="s">
        <v>43</v>
      </c>
      <c r="O119" s="2">
        <v>137.32</v>
      </c>
      <c r="P119">
        <v>2</v>
      </c>
      <c r="Q119" s="3">
        <v>0.15</v>
      </c>
      <c r="R119" s="2">
        <v>15.78</v>
      </c>
    </row>
    <row r="120" spans="1:18" x14ac:dyDescent="0.25">
      <c r="A120">
        <v>119</v>
      </c>
      <c r="B120" t="s">
        <v>259</v>
      </c>
      <c r="C120" s="5">
        <v>45828</v>
      </c>
      <c r="D120" s="5">
        <v>45829</v>
      </c>
      <c r="E120" t="s">
        <v>65</v>
      </c>
      <c r="F120" t="s">
        <v>72</v>
      </c>
      <c r="G120" t="s">
        <v>139</v>
      </c>
      <c r="H120" t="s">
        <v>54</v>
      </c>
      <c r="I120" t="s">
        <v>23</v>
      </c>
      <c r="J120" t="s">
        <v>161</v>
      </c>
      <c r="K120" t="s">
        <v>162</v>
      </c>
      <c r="L120" t="s">
        <v>62</v>
      </c>
      <c r="M120" t="s">
        <v>27</v>
      </c>
      <c r="N120" t="s">
        <v>63</v>
      </c>
      <c r="O120" s="2">
        <v>1651.81</v>
      </c>
      <c r="P120">
        <v>5</v>
      </c>
      <c r="Q120" s="3">
        <v>0.2</v>
      </c>
      <c r="R120" s="2">
        <v>189.08</v>
      </c>
    </row>
    <row r="121" spans="1:18" x14ac:dyDescent="0.25">
      <c r="A121">
        <v>120</v>
      </c>
      <c r="B121" t="s">
        <v>260</v>
      </c>
      <c r="C121" s="5">
        <v>45816</v>
      </c>
      <c r="D121" s="5">
        <v>45821</v>
      </c>
      <c r="E121" t="s">
        <v>65</v>
      </c>
      <c r="F121" t="s">
        <v>208</v>
      </c>
      <c r="G121" t="s">
        <v>59</v>
      </c>
      <c r="H121" t="s">
        <v>22</v>
      </c>
      <c r="I121" t="s">
        <v>23</v>
      </c>
      <c r="J121" t="s">
        <v>68</v>
      </c>
      <c r="K121" t="s">
        <v>69</v>
      </c>
      <c r="L121" t="s">
        <v>70</v>
      </c>
      <c r="M121" t="s">
        <v>27</v>
      </c>
      <c r="N121" t="s">
        <v>28</v>
      </c>
      <c r="O121" s="2">
        <v>1467.47</v>
      </c>
      <c r="P121">
        <v>9</v>
      </c>
      <c r="Q121" s="3">
        <v>0</v>
      </c>
      <c r="R121" s="2">
        <v>185.06</v>
      </c>
    </row>
    <row r="122" spans="1:18" x14ac:dyDescent="0.25">
      <c r="A122">
        <v>121</v>
      </c>
      <c r="B122" t="s">
        <v>261</v>
      </c>
      <c r="C122" s="5">
        <v>45816</v>
      </c>
      <c r="D122" s="5">
        <v>45818</v>
      </c>
      <c r="E122" t="s">
        <v>19</v>
      </c>
      <c r="F122" t="s">
        <v>208</v>
      </c>
      <c r="G122" t="s">
        <v>32</v>
      </c>
      <c r="H122" t="s">
        <v>54</v>
      </c>
      <c r="I122" t="s">
        <v>23</v>
      </c>
      <c r="J122" t="s">
        <v>55</v>
      </c>
      <c r="K122" t="s">
        <v>34</v>
      </c>
      <c r="L122" t="s">
        <v>35</v>
      </c>
      <c r="M122" t="s">
        <v>50</v>
      </c>
      <c r="N122" t="s">
        <v>109</v>
      </c>
      <c r="O122" s="2">
        <v>361.77</v>
      </c>
      <c r="P122">
        <v>3</v>
      </c>
      <c r="Q122" s="3">
        <v>0</v>
      </c>
      <c r="R122" s="2">
        <v>-26.41</v>
      </c>
    </row>
    <row r="123" spans="1:18" x14ac:dyDescent="0.25">
      <c r="A123">
        <v>122</v>
      </c>
      <c r="B123" t="s">
        <v>262</v>
      </c>
      <c r="C123" s="5">
        <v>45996</v>
      </c>
      <c r="D123" s="5">
        <v>45999</v>
      </c>
      <c r="E123" t="s">
        <v>45</v>
      </c>
      <c r="F123" t="s">
        <v>164</v>
      </c>
      <c r="G123" t="s">
        <v>77</v>
      </c>
      <c r="H123" t="s">
        <v>22</v>
      </c>
      <c r="I123" t="s">
        <v>23</v>
      </c>
      <c r="J123" t="s">
        <v>176</v>
      </c>
      <c r="K123" t="s">
        <v>162</v>
      </c>
      <c r="L123" t="s">
        <v>62</v>
      </c>
      <c r="M123" t="s">
        <v>42</v>
      </c>
      <c r="N123" t="s">
        <v>56</v>
      </c>
      <c r="O123" s="2">
        <v>294.57</v>
      </c>
      <c r="P123">
        <v>3</v>
      </c>
      <c r="Q123" s="3">
        <v>0.3</v>
      </c>
      <c r="R123" s="2">
        <v>28.72</v>
      </c>
    </row>
    <row r="124" spans="1:18" x14ac:dyDescent="0.25">
      <c r="A124">
        <v>123</v>
      </c>
      <c r="B124" t="s">
        <v>263</v>
      </c>
      <c r="C124" s="5">
        <v>45844</v>
      </c>
      <c r="D124" s="5">
        <v>45846</v>
      </c>
      <c r="E124" t="s">
        <v>30</v>
      </c>
      <c r="F124" t="s">
        <v>145</v>
      </c>
      <c r="G124" t="s">
        <v>77</v>
      </c>
      <c r="H124" t="s">
        <v>22</v>
      </c>
      <c r="I124" t="s">
        <v>23</v>
      </c>
      <c r="J124" t="s">
        <v>147</v>
      </c>
      <c r="K124" t="s">
        <v>90</v>
      </c>
      <c r="L124" t="s">
        <v>62</v>
      </c>
      <c r="M124" t="s">
        <v>27</v>
      </c>
      <c r="N124" t="s">
        <v>28</v>
      </c>
      <c r="O124" s="2">
        <v>1359.26</v>
      </c>
      <c r="P124">
        <v>8</v>
      </c>
      <c r="Q124" s="3">
        <v>0</v>
      </c>
      <c r="R124" s="2">
        <v>118.12</v>
      </c>
    </row>
    <row r="125" spans="1:18" x14ac:dyDescent="0.25">
      <c r="A125">
        <v>124</v>
      </c>
      <c r="B125" t="s">
        <v>264</v>
      </c>
      <c r="C125" s="5">
        <v>46005</v>
      </c>
      <c r="D125" s="5">
        <v>46010</v>
      </c>
      <c r="E125" t="s">
        <v>45</v>
      </c>
      <c r="F125" t="s">
        <v>115</v>
      </c>
      <c r="G125" t="s">
        <v>32</v>
      </c>
      <c r="H125" t="s">
        <v>54</v>
      </c>
      <c r="I125" t="s">
        <v>23</v>
      </c>
      <c r="J125" t="s">
        <v>89</v>
      </c>
      <c r="K125" t="s">
        <v>90</v>
      </c>
      <c r="L125" t="s">
        <v>62</v>
      </c>
      <c r="M125" t="s">
        <v>50</v>
      </c>
      <c r="N125" t="s">
        <v>136</v>
      </c>
      <c r="O125" s="2">
        <v>1405.06</v>
      </c>
      <c r="P125">
        <v>9</v>
      </c>
      <c r="Q125" s="3">
        <v>0.15</v>
      </c>
      <c r="R125" s="2">
        <v>33.770000000000003</v>
      </c>
    </row>
    <row r="126" spans="1:18" x14ac:dyDescent="0.25">
      <c r="A126">
        <v>125</v>
      </c>
      <c r="B126" t="s">
        <v>265</v>
      </c>
      <c r="C126" s="5">
        <v>45786</v>
      </c>
      <c r="D126" s="5">
        <v>45787</v>
      </c>
      <c r="E126" t="s">
        <v>19</v>
      </c>
      <c r="F126" t="s">
        <v>84</v>
      </c>
      <c r="G126" t="s">
        <v>85</v>
      </c>
      <c r="H126" t="s">
        <v>74</v>
      </c>
      <c r="I126" t="s">
        <v>23</v>
      </c>
      <c r="J126" t="s">
        <v>147</v>
      </c>
      <c r="K126" t="s">
        <v>90</v>
      </c>
      <c r="L126" t="s">
        <v>62</v>
      </c>
      <c r="M126" t="s">
        <v>50</v>
      </c>
      <c r="N126" t="s">
        <v>156</v>
      </c>
      <c r="O126" s="2">
        <v>1683.04</v>
      </c>
      <c r="P126">
        <v>9</v>
      </c>
      <c r="Q126" s="3">
        <v>0.3</v>
      </c>
      <c r="R126" s="2">
        <v>-170.6</v>
      </c>
    </row>
    <row r="127" spans="1:18" x14ac:dyDescent="0.25">
      <c r="A127">
        <v>126</v>
      </c>
      <c r="B127" t="s">
        <v>266</v>
      </c>
      <c r="C127" s="5">
        <v>45920</v>
      </c>
      <c r="D127" s="5">
        <v>45922</v>
      </c>
      <c r="E127" t="s">
        <v>65</v>
      </c>
      <c r="F127" t="s">
        <v>208</v>
      </c>
      <c r="G127" t="s">
        <v>59</v>
      </c>
      <c r="H127" t="s">
        <v>22</v>
      </c>
      <c r="I127" t="s">
        <v>23</v>
      </c>
      <c r="J127" t="s">
        <v>68</v>
      </c>
      <c r="K127" t="s">
        <v>69</v>
      </c>
      <c r="L127" t="s">
        <v>70</v>
      </c>
      <c r="M127" t="s">
        <v>42</v>
      </c>
      <c r="N127" t="s">
        <v>113</v>
      </c>
      <c r="O127" s="2">
        <v>1473.73</v>
      </c>
      <c r="P127">
        <v>6</v>
      </c>
      <c r="Q127" s="3">
        <v>0</v>
      </c>
      <c r="R127" s="2">
        <v>66.63</v>
      </c>
    </row>
    <row r="128" spans="1:18" x14ac:dyDescent="0.25">
      <c r="A128">
        <v>127</v>
      </c>
      <c r="B128" t="s">
        <v>267</v>
      </c>
      <c r="C128" s="5">
        <v>45699</v>
      </c>
      <c r="D128" s="5">
        <v>45702</v>
      </c>
      <c r="E128" t="s">
        <v>19</v>
      </c>
      <c r="F128" t="s">
        <v>122</v>
      </c>
      <c r="G128" t="s">
        <v>67</v>
      </c>
      <c r="H128" t="s">
        <v>74</v>
      </c>
      <c r="I128" t="s">
        <v>23</v>
      </c>
      <c r="J128" t="s">
        <v>55</v>
      </c>
      <c r="K128" t="s">
        <v>34</v>
      </c>
      <c r="L128" t="s">
        <v>35</v>
      </c>
      <c r="M128" t="s">
        <v>42</v>
      </c>
      <c r="N128" t="s">
        <v>43</v>
      </c>
      <c r="O128" s="2">
        <v>1676.87</v>
      </c>
      <c r="P128">
        <v>6</v>
      </c>
      <c r="Q128" s="3">
        <v>0.3</v>
      </c>
      <c r="R128" s="2">
        <v>-157.43</v>
      </c>
    </row>
    <row r="129" spans="1:18" x14ac:dyDescent="0.25">
      <c r="A129">
        <v>128</v>
      </c>
      <c r="B129" t="s">
        <v>268</v>
      </c>
      <c r="C129" s="5">
        <v>46019</v>
      </c>
      <c r="D129" s="5">
        <v>46023</v>
      </c>
      <c r="E129" t="s">
        <v>45</v>
      </c>
      <c r="F129" t="s">
        <v>143</v>
      </c>
      <c r="G129" t="s">
        <v>88</v>
      </c>
      <c r="H129" t="s">
        <v>54</v>
      </c>
      <c r="I129" t="s">
        <v>23</v>
      </c>
      <c r="J129" t="s">
        <v>147</v>
      </c>
      <c r="K129" t="s">
        <v>90</v>
      </c>
      <c r="L129" t="s">
        <v>62</v>
      </c>
      <c r="M129" t="s">
        <v>27</v>
      </c>
      <c r="N129" t="s">
        <v>36</v>
      </c>
      <c r="O129" s="2">
        <v>1632.43</v>
      </c>
      <c r="P129">
        <v>1</v>
      </c>
      <c r="Q129" s="3">
        <v>0.05</v>
      </c>
      <c r="R129" s="2">
        <v>-52.27</v>
      </c>
    </row>
    <row r="130" spans="1:18" x14ac:dyDescent="0.25">
      <c r="A130">
        <v>129</v>
      </c>
      <c r="B130" t="s">
        <v>269</v>
      </c>
      <c r="C130" s="5">
        <v>45714</v>
      </c>
      <c r="D130" s="5">
        <v>45717</v>
      </c>
      <c r="E130" t="s">
        <v>65</v>
      </c>
      <c r="F130" t="s">
        <v>210</v>
      </c>
      <c r="G130" t="s">
        <v>47</v>
      </c>
      <c r="H130" t="s">
        <v>74</v>
      </c>
      <c r="I130" t="s">
        <v>23</v>
      </c>
      <c r="J130" t="s">
        <v>55</v>
      </c>
      <c r="K130" t="s">
        <v>34</v>
      </c>
      <c r="L130" t="s">
        <v>35</v>
      </c>
      <c r="M130" t="s">
        <v>50</v>
      </c>
      <c r="N130" t="s">
        <v>51</v>
      </c>
      <c r="O130" s="2">
        <v>104.99</v>
      </c>
      <c r="P130">
        <v>7</v>
      </c>
      <c r="Q130" s="3">
        <v>0.2</v>
      </c>
      <c r="R130" s="2">
        <v>15.52</v>
      </c>
    </row>
    <row r="131" spans="1:18" x14ac:dyDescent="0.25">
      <c r="A131">
        <v>130</v>
      </c>
      <c r="B131" t="s">
        <v>270</v>
      </c>
      <c r="C131" s="5">
        <v>45981</v>
      </c>
      <c r="D131" s="5">
        <v>45986</v>
      </c>
      <c r="E131" t="s">
        <v>65</v>
      </c>
      <c r="F131" t="s">
        <v>271</v>
      </c>
      <c r="G131" t="s">
        <v>127</v>
      </c>
      <c r="H131" t="s">
        <v>54</v>
      </c>
      <c r="I131" t="s">
        <v>23</v>
      </c>
      <c r="J131" t="s">
        <v>161</v>
      </c>
      <c r="K131" t="s">
        <v>162</v>
      </c>
      <c r="L131" t="s">
        <v>62</v>
      </c>
      <c r="M131" t="s">
        <v>42</v>
      </c>
      <c r="N131" t="s">
        <v>113</v>
      </c>
      <c r="O131" s="2">
        <v>538.46</v>
      </c>
      <c r="P131">
        <v>1</v>
      </c>
      <c r="Q131" s="3">
        <v>0.15</v>
      </c>
      <c r="R131" s="2">
        <v>0.53</v>
      </c>
    </row>
    <row r="132" spans="1:18" x14ac:dyDescent="0.25">
      <c r="A132">
        <v>131</v>
      </c>
      <c r="B132" t="s">
        <v>272</v>
      </c>
      <c r="C132" s="5">
        <v>45926</v>
      </c>
      <c r="D132" s="5">
        <v>45929</v>
      </c>
      <c r="E132" t="s">
        <v>30</v>
      </c>
      <c r="F132" t="s">
        <v>154</v>
      </c>
      <c r="G132" t="s">
        <v>88</v>
      </c>
      <c r="H132" t="s">
        <v>22</v>
      </c>
      <c r="I132" t="s">
        <v>23</v>
      </c>
      <c r="J132" t="s">
        <v>82</v>
      </c>
      <c r="K132" t="s">
        <v>49</v>
      </c>
      <c r="L132" t="s">
        <v>26</v>
      </c>
      <c r="M132" t="s">
        <v>27</v>
      </c>
      <c r="N132" t="s">
        <v>36</v>
      </c>
      <c r="O132" s="2">
        <v>715.01</v>
      </c>
      <c r="P132">
        <v>8</v>
      </c>
      <c r="Q132" s="3">
        <v>0</v>
      </c>
      <c r="R132" s="2">
        <v>87.58</v>
      </c>
    </row>
    <row r="133" spans="1:18" x14ac:dyDescent="0.25">
      <c r="A133">
        <v>132</v>
      </c>
      <c r="B133" t="s">
        <v>273</v>
      </c>
      <c r="C133" s="5">
        <v>45692</v>
      </c>
      <c r="D133" s="5">
        <v>45695</v>
      </c>
      <c r="E133" t="s">
        <v>30</v>
      </c>
      <c r="F133" t="s">
        <v>274</v>
      </c>
      <c r="G133" t="s">
        <v>85</v>
      </c>
      <c r="H133" t="s">
        <v>54</v>
      </c>
      <c r="I133" t="s">
        <v>23</v>
      </c>
      <c r="J133" t="s">
        <v>33</v>
      </c>
      <c r="K133" t="s">
        <v>34</v>
      </c>
      <c r="L133" t="s">
        <v>35</v>
      </c>
      <c r="M133" t="s">
        <v>27</v>
      </c>
      <c r="N133" t="s">
        <v>36</v>
      </c>
      <c r="O133" s="2">
        <v>1393.27</v>
      </c>
      <c r="P133">
        <v>6</v>
      </c>
      <c r="Q133" s="3">
        <v>0</v>
      </c>
      <c r="R133" s="2">
        <v>-117.71</v>
      </c>
    </row>
    <row r="134" spans="1:18" x14ac:dyDescent="0.25">
      <c r="A134">
        <v>133</v>
      </c>
      <c r="B134" t="s">
        <v>275</v>
      </c>
      <c r="C134" s="5">
        <v>46014</v>
      </c>
      <c r="D134" s="5">
        <v>46018</v>
      </c>
      <c r="E134" t="s">
        <v>19</v>
      </c>
      <c r="F134" t="s">
        <v>145</v>
      </c>
      <c r="G134" t="s">
        <v>104</v>
      </c>
      <c r="H134" t="s">
        <v>22</v>
      </c>
      <c r="I134" t="s">
        <v>23</v>
      </c>
      <c r="J134" t="s">
        <v>78</v>
      </c>
      <c r="K134" t="s">
        <v>41</v>
      </c>
      <c r="L134" t="s">
        <v>35</v>
      </c>
      <c r="M134" t="s">
        <v>42</v>
      </c>
      <c r="N134" t="s">
        <v>91</v>
      </c>
      <c r="O134" s="2">
        <v>1294.56</v>
      </c>
      <c r="P134">
        <v>8</v>
      </c>
      <c r="Q134" s="3">
        <v>0</v>
      </c>
      <c r="R134" s="2">
        <v>3.5</v>
      </c>
    </row>
    <row r="135" spans="1:18" x14ac:dyDescent="0.25">
      <c r="A135">
        <v>134</v>
      </c>
      <c r="B135" t="s">
        <v>276</v>
      </c>
      <c r="C135" s="5">
        <v>45816</v>
      </c>
      <c r="D135" s="5">
        <v>45821</v>
      </c>
      <c r="E135" t="s">
        <v>19</v>
      </c>
      <c r="F135" t="s">
        <v>274</v>
      </c>
      <c r="G135" t="s">
        <v>59</v>
      </c>
      <c r="H135" t="s">
        <v>74</v>
      </c>
      <c r="I135" t="s">
        <v>23</v>
      </c>
      <c r="J135" t="s">
        <v>239</v>
      </c>
      <c r="K135" t="s">
        <v>69</v>
      </c>
      <c r="L135" t="s">
        <v>70</v>
      </c>
      <c r="M135" t="s">
        <v>27</v>
      </c>
      <c r="N135" t="s">
        <v>94</v>
      </c>
      <c r="O135" s="2">
        <v>470.9</v>
      </c>
      <c r="P135">
        <v>4</v>
      </c>
      <c r="Q135" s="3">
        <v>0.05</v>
      </c>
      <c r="R135" s="2">
        <v>8.2100000000000009</v>
      </c>
    </row>
    <row r="136" spans="1:18" x14ac:dyDescent="0.25">
      <c r="A136">
        <v>135</v>
      </c>
      <c r="B136" t="s">
        <v>277</v>
      </c>
      <c r="C136" s="5">
        <v>45846</v>
      </c>
      <c r="D136" s="5">
        <v>45850</v>
      </c>
      <c r="E136" t="s">
        <v>65</v>
      </c>
      <c r="F136" t="s">
        <v>217</v>
      </c>
      <c r="G136" t="s">
        <v>77</v>
      </c>
      <c r="H136" t="s">
        <v>74</v>
      </c>
      <c r="I136" t="s">
        <v>23</v>
      </c>
      <c r="J136" t="s">
        <v>68</v>
      </c>
      <c r="K136" t="s">
        <v>69</v>
      </c>
      <c r="L136" t="s">
        <v>70</v>
      </c>
      <c r="M136" t="s">
        <v>27</v>
      </c>
      <c r="N136" t="s">
        <v>94</v>
      </c>
      <c r="O136" s="2">
        <v>1612.45</v>
      </c>
      <c r="P136">
        <v>7</v>
      </c>
      <c r="Q136" s="3">
        <v>0.05</v>
      </c>
      <c r="R136" s="2">
        <v>376.19</v>
      </c>
    </row>
    <row r="137" spans="1:18" x14ac:dyDescent="0.25">
      <c r="A137">
        <v>136</v>
      </c>
      <c r="B137" t="s">
        <v>278</v>
      </c>
      <c r="C137" s="5">
        <v>45700</v>
      </c>
      <c r="D137" s="5">
        <v>45704</v>
      </c>
      <c r="E137" t="s">
        <v>19</v>
      </c>
      <c r="F137" t="s">
        <v>87</v>
      </c>
      <c r="G137" t="s">
        <v>59</v>
      </c>
      <c r="H137" t="s">
        <v>54</v>
      </c>
      <c r="I137" t="s">
        <v>23</v>
      </c>
      <c r="J137" t="s">
        <v>82</v>
      </c>
      <c r="K137" t="s">
        <v>49</v>
      </c>
      <c r="L137" t="s">
        <v>26</v>
      </c>
      <c r="M137" t="s">
        <v>50</v>
      </c>
      <c r="N137" t="s">
        <v>156</v>
      </c>
      <c r="O137" s="2">
        <v>1791.27</v>
      </c>
      <c r="P137">
        <v>3</v>
      </c>
      <c r="Q137" s="3">
        <v>0.15</v>
      </c>
      <c r="R137" s="2">
        <v>-35.26</v>
      </c>
    </row>
    <row r="138" spans="1:18" x14ac:dyDescent="0.25">
      <c r="A138">
        <v>137</v>
      </c>
      <c r="B138" t="s">
        <v>279</v>
      </c>
      <c r="C138" s="5">
        <v>45814</v>
      </c>
      <c r="D138" s="5">
        <v>45818</v>
      </c>
      <c r="E138" t="s">
        <v>30</v>
      </c>
      <c r="F138" t="s">
        <v>118</v>
      </c>
      <c r="G138" t="s">
        <v>21</v>
      </c>
      <c r="H138" t="s">
        <v>74</v>
      </c>
      <c r="I138" t="s">
        <v>23</v>
      </c>
      <c r="J138" t="s">
        <v>161</v>
      </c>
      <c r="K138" t="s">
        <v>162</v>
      </c>
      <c r="L138" t="s">
        <v>62</v>
      </c>
      <c r="M138" t="s">
        <v>27</v>
      </c>
      <c r="N138" t="s">
        <v>94</v>
      </c>
      <c r="O138" s="2">
        <v>316.63</v>
      </c>
      <c r="P138">
        <v>8</v>
      </c>
      <c r="Q138" s="3">
        <v>0.05</v>
      </c>
      <c r="R138" s="2">
        <v>15.51</v>
      </c>
    </row>
    <row r="139" spans="1:18" x14ac:dyDescent="0.25">
      <c r="A139">
        <v>138</v>
      </c>
      <c r="B139" t="s">
        <v>280</v>
      </c>
      <c r="C139" s="5">
        <v>45696</v>
      </c>
      <c r="D139" s="5">
        <v>45700</v>
      </c>
      <c r="E139" t="s">
        <v>65</v>
      </c>
      <c r="F139" t="s">
        <v>281</v>
      </c>
      <c r="G139" t="s">
        <v>85</v>
      </c>
      <c r="H139" t="s">
        <v>22</v>
      </c>
      <c r="I139" t="s">
        <v>23</v>
      </c>
      <c r="J139" t="s">
        <v>120</v>
      </c>
      <c r="K139" t="s">
        <v>108</v>
      </c>
      <c r="L139" t="s">
        <v>70</v>
      </c>
      <c r="M139" t="s">
        <v>27</v>
      </c>
      <c r="N139" t="s">
        <v>63</v>
      </c>
      <c r="O139" s="2">
        <v>1715.97</v>
      </c>
      <c r="P139">
        <v>3</v>
      </c>
      <c r="Q139" s="3">
        <v>0.3</v>
      </c>
      <c r="R139" s="2">
        <v>116.09</v>
      </c>
    </row>
    <row r="140" spans="1:18" x14ac:dyDescent="0.25">
      <c r="A140">
        <v>139</v>
      </c>
      <c r="B140" t="s">
        <v>282</v>
      </c>
      <c r="C140" s="5">
        <v>45988</v>
      </c>
      <c r="D140" s="5">
        <v>45991</v>
      </c>
      <c r="E140" t="s">
        <v>30</v>
      </c>
      <c r="F140" t="s">
        <v>141</v>
      </c>
      <c r="G140" t="s">
        <v>77</v>
      </c>
      <c r="H140" t="s">
        <v>22</v>
      </c>
      <c r="I140" t="s">
        <v>23</v>
      </c>
      <c r="J140" t="s">
        <v>120</v>
      </c>
      <c r="K140" t="s">
        <v>108</v>
      </c>
      <c r="L140" t="s">
        <v>70</v>
      </c>
      <c r="M140" t="s">
        <v>50</v>
      </c>
      <c r="N140" t="s">
        <v>156</v>
      </c>
      <c r="O140" s="2">
        <v>77.650000000000006</v>
      </c>
      <c r="P140">
        <v>3</v>
      </c>
      <c r="Q140" s="3">
        <v>0.2</v>
      </c>
      <c r="R140" s="2">
        <v>2.13</v>
      </c>
    </row>
    <row r="141" spans="1:18" x14ac:dyDescent="0.25">
      <c r="A141">
        <v>140</v>
      </c>
      <c r="B141" t="s">
        <v>283</v>
      </c>
      <c r="C141" s="5">
        <v>45929</v>
      </c>
      <c r="D141" s="5">
        <v>45932</v>
      </c>
      <c r="E141" t="s">
        <v>65</v>
      </c>
      <c r="F141" t="s">
        <v>199</v>
      </c>
      <c r="G141" t="s">
        <v>21</v>
      </c>
      <c r="H141" t="s">
        <v>54</v>
      </c>
      <c r="I141" t="s">
        <v>23</v>
      </c>
      <c r="J141" t="s">
        <v>239</v>
      </c>
      <c r="K141" t="s">
        <v>69</v>
      </c>
      <c r="L141" t="s">
        <v>70</v>
      </c>
      <c r="M141" t="s">
        <v>50</v>
      </c>
      <c r="N141" t="s">
        <v>99</v>
      </c>
      <c r="O141" s="2">
        <v>516.07000000000005</v>
      </c>
      <c r="P141">
        <v>2</v>
      </c>
      <c r="Q141" s="3">
        <v>0</v>
      </c>
      <c r="R141" s="2">
        <v>81.27</v>
      </c>
    </row>
    <row r="142" spans="1:18" x14ac:dyDescent="0.25">
      <c r="A142">
        <v>141</v>
      </c>
      <c r="B142" t="s">
        <v>284</v>
      </c>
      <c r="C142" s="5">
        <v>45792</v>
      </c>
      <c r="D142" s="5">
        <v>45795</v>
      </c>
      <c r="E142" t="s">
        <v>19</v>
      </c>
      <c r="F142" t="s">
        <v>111</v>
      </c>
      <c r="G142" t="s">
        <v>85</v>
      </c>
      <c r="H142" t="s">
        <v>54</v>
      </c>
      <c r="I142" t="s">
        <v>23</v>
      </c>
      <c r="J142" t="s">
        <v>147</v>
      </c>
      <c r="K142" t="s">
        <v>90</v>
      </c>
      <c r="L142" t="s">
        <v>62</v>
      </c>
      <c r="M142" t="s">
        <v>42</v>
      </c>
      <c r="N142" t="s">
        <v>43</v>
      </c>
      <c r="O142" s="2">
        <v>1255.29</v>
      </c>
      <c r="P142">
        <v>8</v>
      </c>
      <c r="Q142" s="3">
        <v>0</v>
      </c>
      <c r="R142" s="2">
        <v>-71.650000000000006</v>
      </c>
    </row>
    <row r="143" spans="1:18" x14ac:dyDescent="0.25">
      <c r="A143">
        <v>142</v>
      </c>
      <c r="B143" t="s">
        <v>285</v>
      </c>
      <c r="C143" s="5">
        <v>45702</v>
      </c>
      <c r="D143" s="5">
        <v>45705</v>
      </c>
      <c r="E143" t="s">
        <v>45</v>
      </c>
      <c r="F143" t="s">
        <v>145</v>
      </c>
      <c r="G143" t="s">
        <v>59</v>
      </c>
      <c r="H143" t="s">
        <v>54</v>
      </c>
      <c r="I143" t="s">
        <v>23</v>
      </c>
      <c r="J143" t="s">
        <v>120</v>
      </c>
      <c r="K143" t="s">
        <v>108</v>
      </c>
      <c r="L143" t="s">
        <v>70</v>
      </c>
      <c r="M143" t="s">
        <v>27</v>
      </c>
      <c r="N143" t="s">
        <v>36</v>
      </c>
      <c r="O143" s="2">
        <v>998.99</v>
      </c>
      <c r="P143">
        <v>5</v>
      </c>
      <c r="Q143" s="3">
        <v>0.05</v>
      </c>
      <c r="R143" s="2">
        <v>190.28</v>
      </c>
    </row>
    <row r="144" spans="1:18" x14ac:dyDescent="0.25">
      <c r="A144">
        <v>143</v>
      </c>
      <c r="B144" t="s">
        <v>286</v>
      </c>
      <c r="C144" s="5">
        <v>45720</v>
      </c>
      <c r="D144" s="5">
        <v>45722</v>
      </c>
      <c r="E144" t="s">
        <v>45</v>
      </c>
      <c r="F144" t="s">
        <v>118</v>
      </c>
      <c r="G144" t="s">
        <v>67</v>
      </c>
      <c r="H144" t="s">
        <v>22</v>
      </c>
      <c r="I144" t="s">
        <v>23</v>
      </c>
      <c r="J144" t="s">
        <v>75</v>
      </c>
      <c r="K144" t="s">
        <v>41</v>
      </c>
      <c r="L144" t="s">
        <v>35</v>
      </c>
      <c r="M144" t="s">
        <v>42</v>
      </c>
      <c r="N144" t="s">
        <v>56</v>
      </c>
      <c r="O144" s="2">
        <v>66.790000000000006</v>
      </c>
      <c r="P144">
        <v>9</v>
      </c>
      <c r="Q144" s="3">
        <v>0.15</v>
      </c>
      <c r="R144" s="2">
        <v>0.44</v>
      </c>
    </row>
    <row r="145" spans="1:18" x14ac:dyDescent="0.25">
      <c r="A145">
        <v>144</v>
      </c>
      <c r="B145" t="s">
        <v>287</v>
      </c>
      <c r="C145" s="5">
        <v>45816</v>
      </c>
      <c r="D145" s="5">
        <v>45820</v>
      </c>
      <c r="E145" t="s">
        <v>30</v>
      </c>
      <c r="F145" t="s">
        <v>274</v>
      </c>
      <c r="G145" t="s">
        <v>47</v>
      </c>
      <c r="H145" t="s">
        <v>74</v>
      </c>
      <c r="I145" t="s">
        <v>23</v>
      </c>
      <c r="J145" t="s">
        <v>147</v>
      </c>
      <c r="K145" t="s">
        <v>90</v>
      </c>
      <c r="L145" t="s">
        <v>62</v>
      </c>
      <c r="M145" t="s">
        <v>27</v>
      </c>
      <c r="N145" t="s">
        <v>94</v>
      </c>
      <c r="O145" s="2">
        <v>1389.11</v>
      </c>
      <c r="P145">
        <v>10</v>
      </c>
      <c r="Q145" s="3">
        <v>0</v>
      </c>
      <c r="R145" s="2">
        <v>-77.98</v>
      </c>
    </row>
    <row r="146" spans="1:18" x14ac:dyDescent="0.25">
      <c r="A146">
        <v>145</v>
      </c>
      <c r="B146" t="s">
        <v>288</v>
      </c>
      <c r="C146" s="5">
        <v>46006</v>
      </c>
      <c r="D146" s="5">
        <v>46011</v>
      </c>
      <c r="E146" t="s">
        <v>19</v>
      </c>
      <c r="F146" t="s">
        <v>129</v>
      </c>
      <c r="G146" t="s">
        <v>73</v>
      </c>
      <c r="H146" t="s">
        <v>22</v>
      </c>
      <c r="I146" t="s">
        <v>23</v>
      </c>
      <c r="J146" t="s">
        <v>107</v>
      </c>
      <c r="K146" t="s">
        <v>108</v>
      </c>
      <c r="L146" t="s">
        <v>70</v>
      </c>
      <c r="M146" t="s">
        <v>42</v>
      </c>
      <c r="N146" t="s">
        <v>113</v>
      </c>
      <c r="O146" s="2">
        <v>1386.65</v>
      </c>
      <c r="P146">
        <v>3</v>
      </c>
      <c r="Q146" s="3">
        <v>0.1</v>
      </c>
      <c r="R146" s="2">
        <v>84.59</v>
      </c>
    </row>
    <row r="147" spans="1:18" x14ac:dyDescent="0.25">
      <c r="A147">
        <v>146</v>
      </c>
      <c r="B147" t="s">
        <v>289</v>
      </c>
      <c r="C147" s="5">
        <v>45742</v>
      </c>
      <c r="D147" s="5">
        <v>45744</v>
      </c>
      <c r="E147" t="s">
        <v>30</v>
      </c>
      <c r="F147" t="s">
        <v>115</v>
      </c>
      <c r="G147" t="s">
        <v>127</v>
      </c>
      <c r="H147" t="s">
        <v>54</v>
      </c>
      <c r="I147" t="s">
        <v>23</v>
      </c>
      <c r="J147" t="s">
        <v>107</v>
      </c>
      <c r="K147" t="s">
        <v>108</v>
      </c>
      <c r="L147" t="s">
        <v>70</v>
      </c>
      <c r="M147" t="s">
        <v>27</v>
      </c>
      <c r="N147" t="s">
        <v>63</v>
      </c>
      <c r="O147" s="2">
        <v>635.91999999999996</v>
      </c>
      <c r="P147">
        <v>9</v>
      </c>
      <c r="Q147" s="3">
        <v>0.05</v>
      </c>
      <c r="R147" s="2">
        <v>119.92</v>
      </c>
    </row>
    <row r="148" spans="1:18" x14ac:dyDescent="0.25">
      <c r="A148">
        <v>147</v>
      </c>
      <c r="B148" t="s">
        <v>290</v>
      </c>
      <c r="C148" s="5">
        <v>45722</v>
      </c>
      <c r="D148" s="5">
        <v>45725</v>
      </c>
      <c r="E148" t="s">
        <v>45</v>
      </c>
      <c r="F148" t="s">
        <v>170</v>
      </c>
      <c r="G148" t="s">
        <v>127</v>
      </c>
      <c r="H148" t="s">
        <v>54</v>
      </c>
      <c r="I148" t="s">
        <v>23</v>
      </c>
      <c r="J148" t="s">
        <v>176</v>
      </c>
      <c r="K148" t="s">
        <v>162</v>
      </c>
      <c r="L148" t="s">
        <v>62</v>
      </c>
      <c r="M148" t="s">
        <v>27</v>
      </c>
      <c r="N148" t="s">
        <v>36</v>
      </c>
      <c r="O148" s="2">
        <v>914.58</v>
      </c>
      <c r="P148">
        <v>3</v>
      </c>
      <c r="Q148" s="3">
        <v>0.15</v>
      </c>
      <c r="R148" s="2">
        <v>189.38</v>
      </c>
    </row>
    <row r="149" spans="1:18" x14ac:dyDescent="0.25">
      <c r="A149">
        <v>148</v>
      </c>
      <c r="B149" t="s">
        <v>291</v>
      </c>
      <c r="C149" s="5">
        <v>45946</v>
      </c>
      <c r="D149" s="5">
        <v>45947</v>
      </c>
      <c r="E149" t="s">
        <v>65</v>
      </c>
      <c r="F149" t="s">
        <v>118</v>
      </c>
      <c r="G149" t="s">
        <v>127</v>
      </c>
      <c r="H149" t="s">
        <v>22</v>
      </c>
      <c r="I149" t="s">
        <v>23</v>
      </c>
      <c r="J149" t="s">
        <v>125</v>
      </c>
      <c r="K149" t="s">
        <v>25</v>
      </c>
      <c r="L149" t="s">
        <v>26</v>
      </c>
      <c r="M149" t="s">
        <v>42</v>
      </c>
      <c r="N149" t="s">
        <v>91</v>
      </c>
      <c r="O149" s="2">
        <v>1708.41</v>
      </c>
      <c r="P149">
        <v>10</v>
      </c>
      <c r="Q149" s="3">
        <v>0.05</v>
      </c>
      <c r="R149" s="2">
        <v>205.68</v>
      </c>
    </row>
    <row r="150" spans="1:18" x14ac:dyDescent="0.25">
      <c r="A150">
        <v>149</v>
      </c>
      <c r="B150" t="s">
        <v>292</v>
      </c>
      <c r="C150" s="5">
        <v>45979</v>
      </c>
      <c r="D150" s="5">
        <v>45984</v>
      </c>
      <c r="E150" t="s">
        <v>19</v>
      </c>
      <c r="F150" t="s">
        <v>170</v>
      </c>
      <c r="G150" t="s">
        <v>77</v>
      </c>
      <c r="H150" t="s">
        <v>74</v>
      </c>
      <c r="I150" t="s">
        <v>23</v>
      </c>
      <c r="J150" t="s">
        <v>179</v>
      </c>
      <c r="K150" t="s">
        <v>98</v>
      </c>
      <c r="L150" t="s">
        <v>70</v>
      </c>
      <c r="M150" t="s">
        <v>27</v>
      </c>
      <c r="N150" t="s">
        <v>28</v>
      </c>
      <c r="O150" s="2">
        <v>879.64</v>
      </c>
      <c r="P150">
        <v>7</v>
      </c>
      <c r="Q150" s="3">
        <v>0.05</v>
      </c>
      <c r="R150" s="2">
        <v>45.07</v>
      </c>
    </row>
    <row r="151" spans="1:18" x14ac:dyDescent="0.25">
      <c r="A151">
        <v>150</v>
      </c>
      <c r="B151" t="s">
        <v>293</v>
      </c>
      <c r="C151" s="5">
        <v>45895</v>
      </c>
      <c r="D151" s="5">
        <v>45897</v>
      </c>
      <c r="E151" t="s">
        <v>30</v>
      </c>
      <c r="F151" t="s">
        <v>66</v>
      </c>
      <c r="G151" t="s">
        <v>85</v>
      </c>
      <c r="H151" t="s">
        <v>74</v>
      </c>
      <c r="I151" t="s">
        <v>23</v>
      </c>
      <c r="J151" t="s">
        <v>120</v>
      </c>
      <c r="K151" t="s">
        <v>108</v>
      </c>
      <c r="L151" t="s">
        <v>70</v>
      </c>
      <c r="M151" t="s">
        <v>27</v>
      </c>
      <c r="N151" t="s">
        <v>63</v>
      </c>
      <c r="O151" s="2">
        <v>576.4</v>
      </c>
      <c r="P151">
        <v>6</v>
      </c>
      <c r="Q151" s="3">
        <v>0.2</v>
      </c>
      <c r="R151" s="2">
        <v>124.39</v>
      </c>
    </row>
    <row r="152" spans="1:18" x14ac:dyDescent="0.25">
      <c r="A152">
        <v>151</v>
      </c>
      <c r="B152" t="s">
        <v>294</v>
      </c>
      <c r="C152" s="5">
        <v>45821</v>
      </c>
      <c r="D152" s="5">
        <v>45823</v>
      </c>
      <c r="E152" t="s">
        <v>65</v>
      </c>
      <c r="F152" t="s">
        <v>118</v>
      </c>
      <c r="G152" t="s">
        <v>21</v>
      </c>
      <c r="H152" t="s">
        <v>22</v>
      </c>
      <c r="I152" t="s">
        <v>23</v>
      </c>
      <c r="J152" t="s">
        <v>89</v>
      </c>
      <c r="K152" t="s">
        <v>90</v>
      </c>
      <c r="L152" t="s">
        <v>62</v>
      </c>
      <c r="M152" t="s">
        <v>42</v>
      </c>
      <c r="N152" t="s">
        <v>43</v>
      </c>
      <c r="O152" s="2">
        <v>820.28</v>
      </c>
      <c r="P152">
        <v>3</v>
      </c>
      <c r="Q152" s="3">
        <v>0</v>
      </c>
      <c r="R152" s="2">
        <v>-67.5</v>
      </c>
    </row>
    <row r="153" spans="1:18" x14ac:dyDescent="0.25">
      <c r="A153">
        <v>152</v>
      </c>
      <c r="B153" t="s">
        <v>295</v>
      </c>
      <c r="C153" s="5">
        <v>45825</v>
      </c>
      <c r="D153" s="5">
        <v>45830</v>
      </c>
      <c r="E153" t="s">
        <v>30</v>
      </c>
      <c r="F153" t="s">
        <v>178</v>
      </c>
      <c r="G153" t="s">
        <v>81</v>
      </c>
      <c r="H153" t="s">
        <v>22</v>
      </c>
      <c r="I153" t="s">
        <v>23</v>
      </c>
      <c r="J153" t="s">
        <v>107</v>
      </c>
      <c r="K153" t="s">
        <v>108</v>
      </c>
      <c r="L153" t="s">
        <v>70</v>
      </c>
      <c r="M153" t="s">
        <v>42</v>
      </c>
      <c r="N153" t="s">
        <v>113</v>
      </c>
      <c r="O153" s="2">
        <v>906.91</v>
      </c>
      <c r="P153">
        <v>9</v>
      </c>
      <c r="Q153" s="3">
        <v>0.1</v>
      </c>
      <c r="R153" s="2">
        <v>54.02</v>
      </c>
    </row>
    <row r="154" spans="1:18" x14ac:dyDescent="0.25">
      <c r="A154">
        <v>153</v>
      </c>
      <c r="B154" t="s">
        <v>296</v>
      </c>
      <c r="C154" s="5">
        <v>45916</v>
      </c>
      <c r="D154" s="5">
        <v>45920</v>
      </c>
      <c r="E154" t="s">
        <v>65</v>
      </c>
      <c r="F154" t="s">
        <v>122</v>
      </c>
      <c r="G154" t="s">
        <v>73</v>
      </c>
      <c r="H154" t="s">
        <v>22</v>
      </c>
      <c r="I154" t="s">
        <v>23</v>
      </c>
      <c r="J154" t="s">
        <v>55</v>
      </c>
      <c r="K154" t="s">
        <v>34</v>
      </c>
      <c r="L154" t="s">
        <v>35</v>
      </c>
      <c r="M154" t="s">
        <v>42</v>
      </c>
      <c r="N154" t="s">
        <v>43</v>
      </c>
      <c r="O154" s="2">
        <v>106.61</v>
      </c>
      <c r="P154">
        <v>5</v>
      </c>
      <c r="Q154" s="3">
        <v>0.1</v>
      </c>
      <c r="R154" s="2">
        <v>10.039999999999999</v>
      </c>
    </row>
    <row r="155" spans="1:18" x14ac:dyDescent="0.25">
      <c r="A155">
        <v>154</v>
      </c>
      <c r="B155" t="s">
        <v>297</v>
      </c>
      <c r="C155" s="5">
        <v>45878</v>
      </c>
      <c r="D155" s="5">
        <v>45880</v>
      </c>
      <c r="E155" t="s">
        <v>45</v>
      </c>
      <c r="F155" t="s">
        <v>141</v>
      </c>
      <c r="G155" t="s">
        <v>73</v>
      </c>
      <c r="H155" t="s">
        <v>74</v>
      </c>
      <c r="I155" t="s">
        <v>23</v>
      </c>
      <c r="J155" t="s">
        <v>97</v>
      </c>
      <c r="K155" t="s">
        <v>98</v>
      </c>
      <c r="L155" t="s">
        <v>70</v>
      </c>
      <c r="M155" t="s">
        <v>27</v>
      </c>
      <c r="N155" t="s">
        <v>28</v>
      </c>
      <c r="O155" s="2">
        <v>1379.67</v>
      </c>
      <c r="P155">
        <v>6</v>
      </c>
      <c r="Q155" s="3">
        <v>0</v>
      </c>
      <c r="R155" s="2">
        <v>55.47</v>
      </c>
    </row>
    <row r="156" spans="1:18" x14ac:dyDescent="0.25">
      <c r="A156">
        <v>155</v>
      </c>
      <c r="B156" t="s">
        <v>298</v>
      </c>
      <c r="C156" s="5">
        <v>45855</v>
      </c>
      <c r="D156" s="5">
        <v>45860</v>
      </c>
      <c r="E156" t="s">
        <v>45</v>
      </c>
      <c r="F156" t="s">
        <v>299</v>
      </c>
      <c r="G156" t="s">
        <v>21</v>
      </c>
      <c r="H156" t="s">
        <v>74</v>
      </c>
      <c r="I156" t="s">
        <v>23</v>
      </c>
      <c r="J156" t="s">
        <v>147</v>
      </c>
      <c r="K156" t="s">
        <v>90</v>
      </c>
      <c r="L156" t="s">
        <v>62</v>
      </c>
      <c r="M156" t="s">
        <v>27</v>
      </c>
      <c r="N156" t="s">
        <v>28</v>
      </c>
      <c r="O156" s="2">
        <v>1489.05</v>
      </c>
      <c r="P156">
        <v>10</v>
      </c>
      <c r="Q156" s="3">
        <v>0.2</v>
      </c>
      <c r="R156" s="2">
        <v>124.88</v>
      </c>
    </row>
    <row r="157" spans="1:18" x14ac:dyDescent="0.25">
      <c r="A157">
        <v>156</v>
      </c>
      <c r="B157" t="s">
        <v>300</v>
      </c>
      <c r="C157" s="5">
        <v>45943</v>
      </c>
      <c r="D157" s="5">
        <v>45946</v>
      </c>
      <c r="E157" t="s">
        <v>30</v>
      </c>
      <c r="F157" t="s">
        <v>181</v>
      </c>
      <c r="G157" t="s">
        <v>73</v>
      </c>
      <c r="H157" t="s">
        <v>74</v>
      </c>
      <c r="I157" t="s">
        <v>23</v>
      </c>
      <c r="J157" t="s">
        <v>75</v>
      </c>
      <c r="K157" t="s">
        <v>41</v>
      </c>
      <c r="L157" t="s">
        <v>35</v>
      </c>
      <c r="M157" t="s">
        <v>42</v>
      </c>
      <c r="N157" t="s">
        <v>56</v>
      </c>
      <c r="O157" s="2">
        <v>910.14</v>
      </c>
      <c r="P157">
        <v>1</v>
      </c>
      <c r="Q157" s="3">
        <v>0</v>
      </c>
      <c r="R157" s="2">
        <v>-47.36</v>
      </c>
    </row>
    <row r="158" spans="1:18" x14ac:dyDescent="0.25">
      <c r="A158">
        <v>157</v>
      </c>
      <c r="B158" t="s">
        <v>301</v>
      </c>
      <c r="C158" s="5">
        <v>45968</v>
      </c>
      <c r="D158" s="5">
        <v>45973</v>
      </c>
      <c r="E158" t="s">
        <v>30</v>
      </c>
      <c r="F158" t="s">
        <v>20</v>
      </c>
      <c r="G158" t="s">
        <v>59</v>
      </c>
      <c r="H158" t="s">
        <v>54</v>
      </c>
      <c r="I158" t="s">
        <v>23</v>
      </c>
      <c r="J158" t="s">
        <v>40</v>
      </c>
      <c r="K158" t="s">
        <v>41</v>
      </c>
      <c r="L158" t="s">
        <v>35</v>
      </c>
      <c r="M158" t="s">
        <v>50</v>
      </c>
      <c r="N158" t="s">
        <v>156</v>
      </c>
      <c r="O158" s="2">
        <v>586.98</v>
      </c>
      <c r="P158">
        <v>7</v>
      </c>
      <c r="Q158" s="3">
        <v>0.15</v>
      </c>
      <c r="R158" s="2">
        <v>79.98</v>
      </c>
    </row>
    <row r="159" spans="1:18" x14ac:dyDescent="0.25">
      <c r="A159">
        <v>158</v>
      </c>
      <c r="B159" t="s">
        <v>302</v>
      </c>
      <c r="C159" s="5">
        <v>45930</v>
      </c>
      <c r="D159" s="5">
        <v>45934</v>
      </c>
      <c r="E159" t="s">
        <v>65</v>
      </c>
      <c r="F159" t="s">
        <v>20</v>
      </c>
      <c r="G159" t="s">
        <v>39</v>
      </c>
      <c r="H159" t="s">
        <v>54</v>
      </c>
      <c r="I159" t="s">
        <v>23</v>
      </c>
      <c r="J159" t="s">
        <v>161</v>
      </c>
      <c r="K159" t="s">
        <v>162</v>
      </c>
      <c r="L159" t="s">
        <v>62</v>
      </c>
      <c r="M159" t="s">
        <v>50</v>
      </c>
      <c r="N159" t="s">
        <v>109</v>
      </c>
      <c r="O159" s="2">
        <v>1472.03</v>
      </c>
      <c r="P159">
        <v>6</v>
      </c>
      <c r="Q159" s="3">
        <v>0.05</v>
      </c>
      <c r="R159" s="2">
        <v>188.91</v>
      </c>
    </row>
    <row r="160" spans="1:18" x14ac:dyDescent="0.25">
      <c r="A160">
        <v>159</v>
      </c>
      <c r="B160" t="s">
        <v>303</v>
      </c>
      <c r="C160" s="5">
        <v>45963</v>
      </c>
      <c r="D160" s="5">
        <v>45967</v>
      </c>
      <c r="E160" t="s">
        <v>65</v>
      </c>
      <c r="F160" t="s">
        <v>205</v>
      </c>
      <c r="G160" t="s">
        <v>135</v>
      </c>
      <c r="H160" t="s">
        <v>54</v>
      </c>
      <c r="I160" t="s">
        <v>23</v>
      </c>
      <c r="J160" t="s">
        <v>97</v>
      </c>
      <c r="K160" t="s">
        <v>98</v>
      </c>
      <c r="L160" t="s">
        <v>70</v>
      </c>
      <c r="M160" t="s">
        <v>27</v>
      </c>
      <c r="N160" t="s">
        <v>63</v>
      </c>
      <c r="O160" s="2">
        <v>1304.0899999999999</v>
      </c>
      <c r="P160">
        <v>10</v>
      </c>
      <c r="Q160" s="3">
        <v>0.1</v>
      </c>
      <c r="R160" s="2">
        <v>-72.14</v>
      </c>
    </row>
    <row r="161" spans="1:18" x14ac:dyDescent="0.25">
      <c r="A161">
        <v>160</v>
      </c>
      <c r="B161" t="s">
        <v>304</v>
      </c>
      <c r="C161" s="5">
        <v>45674</v>
      </c>
      <c r="D161" s="5">
        <v>45679</v>
      </c>
      <c r="E161" t="s">
        <v>45</v>
      </c>
      <c r="F161" t="s">
        <v>103</v>
      </c>
      <c r="G161" t="s">
        <v>73</v>
      </c>
      <c r="H161" t="s">
        <v>54</v>
      </c>
      <c r="I161" t="s">
        <v>23</v>
      </c>
      <c r="J161" t="s">
        <v>82</v>
      </c>
      <c r="K161" t="s">
        <v>49</v>
      </c>
      <c r="L161" t="s">
        <v>26</v>
      </c>
      <c r="M161" t="s">
        <v>42</v>
      </c>
      <c r="N161" t="s">
        <v>91</v>
      </c>
      <c r="O161" s="2">
        <v>805.05</v>
      </c>
      <c r="P161">
        <v>7</v>
      </c>
      <c r="Q161" s="3">
        <v>0</v>
      </c>
      <c r="R161" s="2">
        <v>35.85</v>
      </c>
    </row>
    <row r="162" spans="1:18" x14ac:dyDescent="0.25">
      <c r="A162">
        <v>161</v>
      </c>
      <c r="B162" t="s">
        <v>305</v>
      </c>
      <c r="C162" s="5">
        <v>45689</v>
      </c>
      <c r="D162" s="5">
        <v>45691</v>
      </c>
      <c r="E162" t="s">
        <v>45</v>
      </c>
      <c r="F162" t="s">
        <v>80</v>
      </c>
      <c r="G162" t="s">
        <v>67</v>
      </c>
      <c r="H162" t="s">
        <v>54</v>
      </c>
      <c r="I162" t="s">
        <v>23</v>
      </c>
      <c r="J162" t="s">
        <v>155</v>
      </c>
      <c r="K162" t="s">
        <v>61</v>
      </c>
      <c r="L162" t="s">
        <v>62</v>
      </c>
      <c r="M162" t="s">
        <v>42</v>
      </c>
      <c r="N162" t="s">
        <v>43</v>
      </c>
      <c r="O162" s="2">
        <v>1796.66</v>
      </c>
      <c r="P162">
        <v>8</v>
      </c>
      <c r="Q162" s="3">
        <v>0.15</v>
      </c>
      <c r="R162" s="2">
        <v>16.87</v>
      </c>
    </row>
    <row r="163" spans="1:18" x14ac:dyDescent="0.25">
      <c r="A163">
        <v>162</v>
      </c>
      <c r="B163" t="s">
        <v>306</v>
      </c>
      <c r="C163" s="5">
        <v>45937</v>
      </c>
      <c r="D163" s="5">
        <v>45940</v>
      </c>
      <c r="E163" t="s">
        <v>45</v>
      </c>
      <c r="F163" t="s">
        <v>220</v>
      </c>
      <c r="G163" t="s">
        <v>32</v>
      </c>
      <c r="H163" t="s">
        <v>74</v>
      </c>
      <c r="I163" t="s">
        <v>23</v>
      </c>
      <c r="J163" t="s">
        <v>97</v>
      </c>
      <c r="K163" t="s">
        <v>98</v>
      </c>
      <c r="L163" t="s">
        <v>70</v>
      </c>
      <c r="M163" t="s">
        <v>27</v>
      </c>
      <c r="N163" t="s">
        <v>94</v>
      </c>
      <c r="O163" s="2">
        <v>362.23</v>
      </c>
      <c r="P163">
        <v>4</v>
      </c>
      <c r="Q163" s="3">
        <v>0.05</v>
      </c>
      <c r="R163" s="2">
        <v>31.81</v>
      </c>
    </row>
    <row r="164" spans="1:18" x14ac:dyDescent="0.25">
      <c r="A164">
        <v>163</v>
      </c>
      <c r="B164" t="s">
        <v>307</v>
      </c>
      <c r="C164" s="5">
        <v>46011</v>
      </c>
      <c r="D164" s="5">
        <v>46015</v>
      </c>
      <c r="E164" t="s">
        <v>65</v>
      </c>
      <c r="F164" t="s">
        <v>66</v>
      </c>
      <c r="G164" t="s">
        <v>135</v>
      </c>
      <c r="H164" t="s">
        <v>74</v>
      </c>
      <c r="I164" t="s">
        <v>23</v>
      </c>
      <c r="J164" t="s">
        <v>120</v>
      </c>
      <c r="K164" t="s">
        <v>108</v>
      </c>
      <c r="L164" t="s">
        <v>70</v>
      </c>
      <c r="M164" t="s">
        <v>50</v>
      </c>
      <c r="N164" t="s">
        <v>136</v>
      </c>
      <c r="O164" s="2">
        <v>1017.67</v>
      </c>
      <c r="P164">
        <v>5</v>
      </c>
      <c r="Q164" s="3">
        <v>0.05</v>
      </c>
      <c r="R164" s="2">
        <v>-65.989999999999995</v>
      </c>
    </row>
    <row r="165" spans="1:18" x14ac:dyDescent="0.25">
      <c r="A165">
        <v>164</v>
      </c>
      <c r="B165" t="s">
        <v>308</v>
      </c>
      <c r="C165" s="5">
        <v>45806</v>
      </c>
      <c r="D165" s="5">
        <v>45807</v>
      </c>
      <c r="E165" t="s">
        <v>65</v>
      </c>
      <c r="F165" t="s">
        <v>93</v>
      </c>
      <c r="G165" t="s">
        <v>104</v>
      </c>
      <c r="H165" t="s">
        <v>54</v>
      </c>
      <c r="I165" t="s">
        <v>23</v>
      </c>
      <c r="J165" t="s">
        <v>179</v>
      </c>
      <c r="K165" t="s">
        <v>98</v>
      </c>
      <c r="L165" t="s">
        <v>70</v>
      </c>
      <c r="M165" t="s">
        <v>27</v>
      </c>
      <c r="N165" t="s">
        <v>36</v>
      </c>
      <c r="O165" s="2">
        <v>636.53</v>
      </c>
      <c r="P165">
        <v>8</v>
      </c>
      <c r="Q165" s="3">
        <v>0.2</v>
      </c>
      <c r="R165" s="2">
        <v>-25.62</v>
      </c>
    </row>
    <row r="166" spans="1:18" x14ac:dyDescent="0.25">
      <c r="A166">
        <v>165</v>
      </c>
      <c r="B166" t="s">
        <v>309</v>
      </c>
      <c r="C166" s="5">
        <v>45945</v>
      </c>
      <c r="D166" s="5">
        <v>45948</v>
      </c>
      <c r="E166" t="s">
        <v>19</v>
      </c>
      <c r="F166" t="s">
        <v>299</v>
      </c>
      <c r="G166" t="s">
        <v>21</v>
      </c>
      <c r="H166" t="s">
        <v>74</v>
      </c>
      <c r="I166" t="s">
        <v>23</v>
      </c>
      <c r="J166" t="s">
        <v>40</v>
      </c>
      <c r="K166" t="s">
        <v>41</v>
      </c>
      <c r="L166" t="s">
        <v>35</v>
      </c>
      <c r="M166" t="s">
        <v>42</v>
      </c>
      <c r="N166" t="s">
        <v>113</v>
      </c>
      <c r="O166" s="2">
        <v>451.58</v>
      </c>
      <c r="P166">
        <v>9</v>
      </c>
      <c r="Q166" s="3">
        <v>0</v>
      </c>
      <c r="R166" s="2">
        <v>55.67</v>
      </c>
    </row>
    <row r="167" spans="1:18" x14ac:dyDescent="0.25">
      <c r="A167">
        <v>166</v>
      </c>
      <c r="B167" t="s">
        <v>310</v>
      </c>
      <c r="C167" s="5">
        <v>45899</v>
      </c>
      <c r="D167" s="5">
        <v>45900</v>
      </c>
      <c r="E167" t="s">
        <v>30</v>
      </c>
      <c r="F167" t="s">
        <v>183</v>
      </c>
      <c r="G167" t="s">
        <v>39</v>
      </c>
      <c r="H167" t="s">
        <v>54</v>
      </c>
      <c r="I167" t="s">
        <v>23</v>
      </c>
      <c r="J167" t="s">
        <v>75</v>
      </c>
      <c r="K167" t="s">
        <v>41</v>
      </c>
      <c r="L167" t="s">
        <v>35</v>
      </c>
      <c r="M167" t="s">
        <v>42</v>
      </c>
      <c r="N167" t="s">
        <v>113</v>
      </c>
      <c r="O167" s="2">
        <v>744.3</v>
      </c>
      <c r="P167">
        <v>8</v>
      </c>
      <c r="Q167" s="3">
        <v>0.1</v>
      </c>
      <c r="R167" s="2">
        <v>83.87</v>
      </c>
    </row>
    <row r="168" spans="1:18" x14ac:dyDescent="0.25">
      <c r="A168">
        <v>167</v>
      </c>
      <c r="B168" t="s">
        <v>311</v>
      </c>
      <c r="C168" s="5">
        <v>45703</v>
      </c>
      <c r="D168" s="5">
        <v>45708</v>
      </c>
      <c r="E168" t="s">
        <v>45</v>
      </c>
      <c r="F168" t="s">
        <v>281</v>
      </c>
      <c r="G168" t="s">
        <v>135</v>
      </c>
      <c r="H168" t="s">
        <v>74</v>
      </c>
      <c r="I168" t="s">
        <v>23</v>
      </c>
      <c r="J168" t="s">
        <v>33</v>
      </c>
      <c r="K168" t="s">
        <v>34</v>
      </c>
      <c r="L168" t="s">
        <v>35</v>
      </c>
      <c r="M168" t="s">
        <v>27</v>
      </c>
      <c r="N168" t="s">
        <v>36</v>
      </c>
      <c r="O168" s="2">
        <v>1645.55</v>
      </c>
      <c r="P168">
        <v>3</v>
      </c>
      <c r="Q168" s="3">
        <v>0.1</v>
      </c>
      <c r="R168" s="2">
        <v>318.88</v>
      </c>
    </row>
    <row r="169" spans="1:18" x14ac:dyDescent="0.25">
      <c r="A169">
        <v>168</v>
      </c>
      <c r="B169" t="s">
        <v>312</v>
      </c>
      <c r="C169" s="5">
        <v>45753</v>
      </c>
      <c r="D169" s="5">
        <v>45756</v>
      </c>
      <c r="E169" t="s">
        <v>65</v>
      </c>
      <c r="F169" t="s">
        <v>72</v>
      </c>
      <c r="G169" t="s">
        <v>135</v>
      </c>
      <c r="H169" t="s">
        <v>54</v>
      </c>
      <c r="I169" t="s">
        <v>23</v>
      </c>
      <c r="J169" t="s">
        <v>125</v>
      </c>
      <c r="K169" t="s">
        <v>25</v>
      </c>
      <c r="L169" t="s">
        <v>26</v>
      </c>
      <c r="M169" t="s">
        <v>42</v>
      </c>
      <c r="N169" t="s">
        <v>43</v>
      </c>
      <c r="O169" s="2">
        <v>1030.97</v>
      </c>
      <c r="P169">
        <v>2</v>
      </c>
      <c r="Q169" s="3">
        <v>0.05</v>
      </c>
      <c r="R169" s="2">
        <v>-8.15</v>
      </c>
    </row>
    <row r="170" spans="1:18" x14ac:dyDescent="0.25">
      <c r="A170">
        <v>169</v>
      </c>
      <c r="B170" t="s">
        <v>313</v>
      </c>
      <c r="C170" s="5">
        <v>45797</v>
      </c>
      <c r="D170" s="5">
        <v>45799</v>
      </c>
      <c r="E170" t="s">
        <v>30</v>
      </c>
      <c r="F170" t="s">
        <v>145</v>
      </c>
      <c r="G170" t="s">
        <v>39</v>
      </c>
      <c r="H170" t="s">
        <v>54</v>
      </c>
      <c r="I170" t="s">
        <v>23</v>
      </c>
      <c r="J170" t="s">
        <v>48</v>
      </c>
      <c r="K170" t="s">
        <v>49</v>
      </c>
      <c r="L170" t="s">
        <v>26</v>
      </c>
      <c r="M170" t="s">
        <v>50</v>
      </c>
      <c r="N170" t="s">
        <v>151</v>
      </c>
      <c r="O170" s="2">
        <v>1321.39</v>
      </c>
      <c r="P170">
        <v>5</v>
      </c>
      <c r="Q170" s="3">
        <v>0.2</v>
      </c>
      <c r="R170" s="2">
        <v>-85.67</v>
      </c>
    </row>
    <row r="171" spans="1:18" x14ac:dyDescent="0.25">
      <c r="A171">
        <v>170</v>
      </c>
      <c r="B171" t="s">
        <v>314</v>
      </c>
      <c r="C171" s="5">
        <v>45747</v>
      </c>
      <c r="D171" s="5">
        <v>45752</v>
      </c>
      <c r="E171" t="s">
        <v>45</v>
      </c>
      <c r="F171" t="s">
        <v>181</v>
      </c>
      <c r="G171" t="s">
        <v>59</v>
      </c>
      <c r="H171" t="s">
        <v>22</v>
      </c>
      <c r="I171" t="s">
        <v>23</v>
      </c>
      <c r="J171" t="s">
        <v>239</v>
      </c>
      <c r="K171" t="s">
        <v>69</v>
      </c>
      <c r="L171" t="s">
        <v>70</v>
      </c>
      <c r="M171" t="s">
        <v>50</v>
      </c>
      <c r="N171" t="s">
        <v>156</v>
      </c>
      <c r="O171" s="2">
        <v>603.71</v>
      </c>
      <c r="P171">
        <v>7</v>
      </c>
      <c r="Q171" s="3">
        <v>0.2</v>
      </c>
      <c r="R171" s="2">
        <v>-58.33</v>
      </c>
    </row>
    <row r="172" spans="1:18" x14ac:dyDescent="0.25">
      <c r="A172">
        <v>171</v>
      </c>
      <c r="B172" t="s">
        <v>315</v>
      </c>
      <c r="C172" s="5">
        <v>45791</v>
      </c>
      <c r="D172" s="5">
        <v>45795</v>
      </c>
      <c r="E172" t="s">
        <v>19</v>
      </c>
      <c r="F172" t="s">
        <v>154</v>
      </c>
      <c r="G172" t="s">
        <v>127</v>
      </c>
      <c r="H172" t="s">
        <v>74</v>
      </c>
      <c r="I172" t="s">
        <v>23</v>
      </c>
      <c r="J172" t="s">
        <v>55</v>
      </c>
      <c r="K172" t="s">
        <v>34</v>
      </c>
      <c r="L172" t="s">
        <v>35</v>
      </c>
      <c r="M172" t="s">
        <v>50</v>
      </c>
      <c r="N172" t="s">
        <v>136</v>
      </c>
      <c r="O172" s="2">
        <v>1718.18</v>
      </c>
      <c r="P172">
        <v>5</v>
      </c>
      <c r="Q172" s="3">
        <v>0.15</v>
      </c>
      <c r="R172" s="2">
        <v>224.24</v>
      </c>
    </row>
    <row r="173" spans="1:18" x14ac:dyDescent="0.25">
      <c r="A173">
        <v>172</v>
      </c>
      <c r="B173" t="s">
        <v>316</v>
      </c>
      <c r="C173" s="5">
        <v>45689</v>
      </c>
      <c r="D173" s="5">
        <v>45690</v>
      </c>
      <c r="E173" t="s">
        <v>19</v>
      </c>
      <c r="F173" t="s">
        <v>186</v>
      </c>
      <c r="G173" t="s">
        <v>67</v>
      </c>
      <c r="H173" t="s">
        <v>74</v>
      </c>
      <c r="I173" t="s">
        <v>23</v>
      </c>
      <c r="J173" t="s">
        <v>147</v>
      </c>
      <c r="K173" t="s">
        <v>90</v>
      </c>
      <c r="L173" t="s">
        <v>62</v>
      </c>
      <c r="M173" t="s">
        <v>50</v>
      </c>
      <c r="N173" t="s">
        <v>151</v>
      </c>
      <c r="O173" s="2">
        <v>741.64</v>
      </c>
      <c r="P173">
        <v>9</v>
      </c>
      <c r="Q173" s="3">
        <v>0.2</v>
      </c>
      <c r="R173" s="2">
        <v>103.42</v>
      </c>
    </row>
    <row r="174" spans="1:18" x14ac:dyDescent="0.25">
      <c r="A174">
        <v>173</v>
      </c>
      <c r="B174" t="s">
        <v>317</v>
      </c>
      <c r="C174" s="5">
        <v>45972</v>
      </c>
      <c r="D174" s="5">
        <v>45974</v>
      </c>
      <c r="E174" t="s">
        <v>65</v>
      </c>
      <c r="F174" t="s">
        <v>84</v>
      </c>
      <c r="G174" t="s">
        <v>73</v>
      </c>
      <c r="H174" t="s">
        <v>54</v>
      </c>
      <c r="I174" t="s">
        <v>23</v>
      </c>
      <c r="J174" t="s">
        <v>55</v>
      </c>
      <c r="K174" t="s">
        <v>34</v>
      </c>
      <c r="L174" t="s">
        <v>35</v>
      </c>
      <c r="M174" t="s">
        <v>42</v>
      </c>
      <c r="N174" t="s">
        <v>56</v>
      </c>
      <c r="O174" s="2">
        <v>292.67</v>
      </c>
      <c r="P174">
        <v>10</v>
      </c>
      <c r="Q174" s="3">
        <v>0.05</v>
      </c>
      <c r="R174" s="2">
        <v>11.13</v>
      </c>
    </row>
    <row r="175" spans="1:18" x14ac:dyDescent="0.25">
      <c r="A175">
        <v>174</v>
      </c>
      <c r="B175" t="s">
        <v>318</v>
      </c>
      <c r="C175" s="5">
        <v>45784</v>
      </c>
      <c r="D175" s="5">
        <v>45789</v>
      </c>
      <c r="E175" t="s">
        <v>19</v>
      </c>
      <c r="F175" t="s">
        <v>106</v>
      </c>
      <c r="G175" t="s">
        <v>135</v>
      </c>
      <c r="H175" t="s">
        <v>54</v>
      </c>
      <c r="I175" t="s">
        <v>23</v>
      </c>
      <c r="J175" t="s">
        <v>48</v>
      </c>
      <c r="K175" t="s">
        <v>49</v>
      </c>
      <c r="L175" t="s">
        <v>26</v>
      </c>
      <c r="M175" t="s">
        <v>27</v>
      </c>
      <c r="N175" t="s">
        <v>94</v>
      </c>
      <c r="O175" s="2">
        <v>960.15</v>
      </c>
      <c r="P175">
        <v>6</v>
      </c>
      <c r="Q175" s="3">
        <v>0</v>
      </c>
      <c r="R175" s="2">
        <v>212.23</v>
      </c>
    </row>
    <row r="176" spans="1:18" x14ac:dyDescent="0.25">
      <c r="A176">
        <v>175</v>
      </c>
      <c r="B176" t="s">
        <v>319</v>
      </c>
      <c r="C176" s="5">
        <v>45951</v>
      </c>
      <c r="D176" s="5">
        <v>45956</v>
      </c>
      <c r="E176" t="s">
        <v>65</v>
      </c>
      <c r="F176" t="s">
        <v>87</v>
      </c>
      <c r="G176" t="s">
        <v>67</v>
      </c>
      <c r="H176" t="s">
        <v>54</v>
      </c>
      <c r="I176" t="s">
        <v>23</v>
      </c>
      <c r="J176" t="s">
        <v>78</v>
      </c>
      <c r="K176" t="s">
        <v>41</v>
      </c>
      <c r="L176" t="s">
        <v>35</v>
      </c>
      <c r="M176" t="s">
        <v>42</v>
      </c>
      <c r="N176" t="s">
        <v>43</v>
      </c>
      <c r="O176" s="2">
        <v>1540.99</v>
      </c>
      <c r="P176">
        <v>8</v>
      </c>
      <c r="Q176" s="3">
        <v>0</v>
      </c>
      <c r="R176" s="2">
        <v>212.82</v>
      </c>
    </row>
    <row r="177" spans="1:18" x14ac:dyDescent="0.25">
      <c r="A177">
        <v>176</v>
      </c>
      <c r="B177" t="s">
        <v>320</v>
      </c>
      <c r="C177" s="5">
        <v>45686</v>
      </c>
      <c r="D177" s="5">
        <v>45690</v>
      </c>
      <c r="E177" t="s">
        <v>30</v>
      </c>
      <c r="F177" t="s">
        <v>164</v>
      </c>
      <c r="G177" t="s">
        <v>81</v>
      </c>
      <c r="H177" t="s">
        <v>74</v>
      </c>
      <c r="I177" t="s">
        <v>23</v>
      </c>
      <c r="J177" t="s">
        <v>78</v>
      </c>
      <c r="K177" t="s">
        <v>41</v>
      </c>
      <c r="L177" t="s">
        <v>35</v>
      </c>
      <c r="M177" t="s">
        <v>27</v>
      </c>
      <c r="N177" t="s">
        <v>94</v>
      </c>
      <c r="O177" s="2">
        <v>833.1</v>
      </c>
      <c r="P177">
        <v>1</v>
      </c>
      <c r="Q177" s="3">
        <v>0.15</v>
      </c>
      <c r="R177" s="2">
        <v>32.770000000000003</v>
      </c>
    </row>
    <row r="178" spans="1:18" x14ac:dyDescent="0.25">
      <c r="A178">
        <v>177</v>
      </c>
      <c r="B178" t="s">
        <v>321</v>
      </c>
      <c r="C178" s="5">
        <v>45659</v>
      </c>
      <c r="D178" s="5">
        <v>45661</v>
      </c>
      <c r="E178" t="s">
        <v>19</v>
      </c>
      <c r="F178" t="s">
        <v>181</v>
      </c>
      <c r="G178" t="s">
        <v>81</v>
      </c>
      <c r="H178" t="s">
        <v>74</v>
      </c>
      <c r="I178" t="s">
        <v>23</v>
      </c>
      <c r="J178" t="s">
        <v>176</v>
      </c>
      <c r="K178" t="s">
        <v>162</v>
      </c>
      <c r="L178" t="s">
        <v>62</v>
      </c>
      <c r="M178" t="s">
        <v>42</v>
      </c>
      <c r="N178" t="s">
        <v>91</v>
      </c>
      <c r="O178" s="2">
        <v>774.18</v>
      </c>
      <c r="P178">
        <v>2</v>
      </c>
      <c r="Q178" s="3">
        <v>0.15</v>
      </c>
      <c r="R178" s="2">
        <v>174.53</v>
      </c>
    </row>
    <row r="179" spans="1:18" x14ac:dyDescent="0.25">
      <c r="A179">
        <v>178</v>
      </c>
      <c r="B179" t="s">
        <v>322</v>
      </c>
      <c r="C179" s="5">
        <v>45750</v>
      </c>
      <c r="D179" s="5">
        <v>45752</v>
      </c>
      <c r="E179" t="s">
        <v>45</v>
      </c>
      <c r="F179" t="s">
        <v>274</v>
      </c>
      <c r="G179" t="s">
        <v>135</v>
      </c>
      <c r="H179" t="s">
        <v>74</v>
      </c>
      <c r="I179" t="s">
        <v>23</v>
      </c>
      <c r="J179" t="s">
        <v>239</v>
      </c>
      <c r="K179" t="s">
        <v>69</v>
      </c>
      <c r="L179" t="s">
        <v>70</v>
      </c>
      <c r="M179" t="s">
        <v>50</v>
      </c>
      <c r="N179" t="s">
        <v>109</v>
      </c>
      <c r="O179" s="2">
        <v>818.4</v>
      </c>
      <c r="P179">
        <v>7</v>
      </c>
      <c r="Q179" s="3">
        <v>0.1</v>
      </c>
      <c r="R179" s="2">
        <v>-71.13</v>
      </c>
    </row>
    <row r="180" spans="1:18" x14ac:dyDescent="0.25">
      <c r="A180">
        <v>179</v>
      </c>
      <c r="B180" t="s">
        <v>323</v>
      </c>
      <c r="C180" s="5">
        <v>45749</v>
      </c>
      <c r="D180" s="5">
        <v>45754</v>
      </c>
      <c r="E180" t="s">
        <v>19</v>
      </c>
      <c r="F180" t="s">
        <v>220</v>
      </c>
      <c r="G180" t="s">
        <v>77</v>
      </c>
      <c r="H180" t="s">
        <v>54</v>
      </c>
      <c r="I180" t="s">
        <v>23</v>
      </c>
      <c r="J180" t="s">
        <v>68</v>
      </c>
      <c r="K180" t="s">
        <v>69</v>
      </c>
      <c r="L180" t="s">
        <v>70</v>
      </c>
      <c r="M180" t="s">
        <v>27</v>
      </c>
      <c r="N180" t="s">
        <v>63</v>
      </c>
      <c r="O180" s="2">
        <v>1315.59</v>
      </c>
      <c r="P180">
        <v>4</v>
      </c>
      <c r="Q180" s="3">
        <v>0.3</v>
      </c>
      <c r="R180" s="2">
        <v>-189.16</v>
      </c>
    </row>
    <row r="181" spans="1:18" x14ac:dyDescent="0.25">
      <c r="A181">
        <v>180</v>
      </c>
      <c r="B181" t="s">
        <v>324</v>
      </c>
      <c r="C181" s="5">
        <v>45930</v>
      </c>
      <c r="D181" s="5">
        <v>45934</v>
      </c>
      <c r="E181" t="s">
        <v>19</v>
      </c>
      <c r="F181" t="s">
        <v>281</v>
      </c>
      <c r="G181" t="s">
        <v>32</v>
      </c>
      <c r="H181" t="s">
        <v>54</v>
      </c>
      <c r="I181" t="s">
        <v>23</v>
      </c>
      <c r="J181" t="s">
        <v>33</v>
      </c>
      <c r="K181" t="s">
        <v>34</v>
      </c>
      <c r="L181" t="s">
        <v>35</v>
      </c>
      <c r="M181" t="s">
        <v>42</v>
      </c>
      <c r="N181" t="s">
        <v>56</v>
      </c>
      <c r="O181" s="2">
        <v>636.16</v>
      </c>
      <c r="P181">
        <v>5</v>
      </c>
      <c r="Q181" s="3">
        <v>0</v>
      </c>
      <c r="R181" s="2">
        <v>145.1</v>
      </c>
    </row>
    <row r="182" spans="1:18" x14ac:dyDescent="0.25">
      <c r="A182">
        <v>181</v>
      </c>
      <c r="B182" t="s">
        <v>325</v>
      </c>
      <c r="C182" s="5">
        <v>45972</v>
      </c>
      <c r="D182" s="5">
        <v>45973</v>
      </c>
      <c r="E182" t="s">
        <v>19</v>
      </c>
      <c r="F182" t="s">
        <v>230</v>
      </c>
      <c r="G182" t="s">
        <v>88</v>
      </c>
      <c r="H182" t="s">
        <v>22</v>
      </c>
      <c r="I182" t="s">
        <v>23</v>
      </c>
      <c r="J182" t="s">
        <v>33</v>
      </c>
      <c r="K182" t="s">
        <v>34</v>
      </c>
      <c r="L182" t="s">
        <v>35</v>
      </c>
      <c r="M182" t="s">
        <v>42</v>
      </c>
      <c r="N182" t="s">
        <v>91</v>
      </c>
      <c r="O182" s="2">
        <v>199.6</v>
      </c>
      <c r="P182">
        <v>1</v>
      </c>
      <c r="Q182" s="3">
        <v>0.1</v>
      </c>
      <c r="R182" s="2">
        <v>18.809999999999999</v>
      </c>
    </row>
    <row r="183" spans="1:18" x14ac:dyDescent="0.25">
      <c r="A183">
        <v>182</v>
      </c>
      <c r="B183" t="s">
        <v>326</v>
      </c>
      <c r="C183" s="5">
        <v>45882</v>
      </c>
      <c r="D183" s="5">
        <v>45884</v>
      </c>
      <c r="E183" t="s">
        <v>30</v>
      </c>
      <c r="F183" t="s">
        <v>195</v>
      </c>
      <c r="G183" t="s">
        <v>139</v>
      </c>
      <c r="H183" t="s">
        <v>54</v>
      </c>
      <c r="I183" t="s">
        <v>23</v>
      </c>
      <c r="J183" t="s">
        <v>155</v>
      </c>
      <c r="K183" t="s">
        <v>61</v>
      </c>
      <c r="L183" t="s">
        <v>62</v>
      </c>
      <c r="M183" t="s">
        <v>42</v>
      </c>
      <c r="N183" t="s">
        <v>91</v>
      </c>
      <c r="O183" s="2">
        <v>269.44</v>
      </c>
      <c r="P183">
        <v>5</v>
      </c>
      <c r="Q183" s="3">
        <v>0</v>
      </c>
      <c r="R183" s="2">
        <v>49.99</v>
      </c>
    </row>
    <row r="184" spans="1:18" x14ac:dyDescent="0.25">
      <c r="A184">
        <v>183</v>
      </c>
      <c r="B184" t="s">
        <v>327</v>
      </c>
      <c r="C184" s="5">
        <v>45779</v>
      </c>
      <c r="D184" s="5">
        <v>45782</v>
      </c>
      <c r="E184" t="s">
        <v>45</v>
      </c>
      <c r="F184" t="s">
        <v>186</v>
      </c>
      <c r="G184" t="s">
        <v>127</v>
      </c>
      <c r="H184" t="s">
        <v>74</v>
      </c>
      <c r="I184" t="s">
        <v>23</v>
      </c>
      <c r="J184" t="s">
        <v>40</v>
      </c>
      <c r="K184" t="s">
        <v>41</v>
      </c>
      <c r="L184" t="s">
        <v>35</v>
      </c>
      <c r="M184" t="s">
        <v>27</v>
      </c>
      <c r="N184" t="s">
        <v>63</v>
      </c>
      <c r="O184" s="2">
        <v>756.14</v>
      </c>
      <c r="P184">
        <v>5</v>
      </c>
      <c r="Q184" s="3">
        <v>0</v>
      </c>
      <c r="R184" s="2">
        <v>71.72</v>
      </c>
    </row>
    <row r="185" spans="1:18" x14ac:dyDescent="0.25">
      <c r="A185">
        <v>184</v>
      </c>
      <c r="B185" t="s">
        <v>328</v>
      </c>
      <c r="C185" s="5">
        <v>45911</v>
      </c>
      <c r="D185" s="5">
        <v>45912</v>
      </c>
      <c r="E185" t="s">
        <v>45</v>
      </c>
      <c r="F185" t="s">
        <v>220</v>
      </c>
      <c r="G185" t="s">
        <v>21</v>
      </c>
      <c r="H185" t="s">
        <v>22</v>
      </c>
      <c r="I185" t="s">
        <v>23</v>
      </c>
      <c r="J185" t="s">
        <v>107</v>
      </c>
      <c r="K185" t="s">
        <v>108</v>
      </c>
      <c r="L185" t="s">
        <v>70</v>
      </c>
      <c r="M185" t="s">
        <v>27</v>
      </c>
      <c r="N185" t="s">
        <v>94</v>
      </c>
      <c r="O185" s="2">
        <v>1418.73</v>
      </c>
      <c r="P185">
        <v>6</v>
      </c>
      <c r="Q185" s="3">
        <v>0.2</v>
      </c>
      <c r="R185" s="2">
        <v>22.29</v>
      </c>
    </row>
    <row r="186" spans="1:18" x14ac:dyDescent="0.25">
      <c r="A186">
        <v>185</v>
      </c>
      <c r="B186" t="s">
        <v>329</v>
      </c>
      <c r="C186" s="5">
        <v>45781</v>
      </c>
      <c r="D186" s="5">
        <v>45783</v>
      </c>
      <c r="E186" t="s">
        <v>65</v>
      </c>
      <c r="F186" t="s">
        <v>143</v>
      </c>
      <c r="G186" t="s">
        <v>73</v>
      </c>
      <c r="H186" t="s">
        <v>22</v>
      </c>
      <c r="I186" t="s">
        <v>23</v>
      </c>
      <c r="J186" t="s">
        <v>179</v>
      </c>
      <c r="K186" t="s">
        <v>98</v>
      </c>
      <c r="L186" t="s">
        <v>70</v>
      </c>
      <c r="M186" t="s">
        <v>27</v>
      </c>
      <c r="N186" t="s">
        <v>63</v>
      </c>
      <c r="O186" s="2">
        <v>1454.28</v>
      </c>
      <c r="P186">
        <v>1</v>
      </c>
      <c r="Q186" s="3">
        <v>0.15</v>
      </c>
      <c r="R186" s="2">
        <v>31.9</v>
      </c>
    </row>
    <row r="187" spans="1:18" x14ac:dyDescent="0.25">
      <c r="A187">
        <v>186</v>
      </c>
      <c r="B187" t="s">
        <v>330</v>
      </c>
      <c r="C187" s="5">
        <v>45782</v>
      </c>
      <c r="D187" s="5">
        <v>45785</v>
      </c>
      <c r="E187" t="s">
        <v>45</v>
      </c>
      <c r="F187" t="s">
        <v>106</v>
      </c>
      <c r="G187" t="s">
        <v>39</v>
      </c>
      <c r="H187" t="s">
        <v>74</v>
      </c>
      <c r="I187" t="s">
        <v>23</v>
      </c>
      <c r="J187" t="s">
        <v>55</v>
      </c>
      <c r="K187" t="s">
        <v>34</v>
      </c>
      <c r="L187" t="s">
        <v>35</v>
      </c>
      <c r="M187" t="s">
        <v>50</v>
      </c>
      <c r="N187" t="s">
        <v>99</v>
      </c>
      <c r="O187" s="2">
        <v>160.75</v>
      </c>
      <c r="P187">
        <v>8</v>
      </c>
      <c r="Q187" s="3">
        <v>0.3</v>
      </c>
      <c r="R187" s="2">
        <v>-2.4300000000000002</v>
      </c>
    </row>
    <row r="188" spans="1:18" x14ac:dyDescent="0.25">
      <c r="A188">
        <v>187</v>
      </c>
      <c r="B188" t="s">
        <v>331</v>
      </c>
      <c r="C188" s="5">
        <v>45695</v>
      </c>
      <c r="D188" s="5">
        <v>45697</v>
      </c>
      <c r="E188" t="s">
        <v>19</v>
      </c>
      <c r="F188" t="s">
        <v>93</v>
      </c>
      <c r="G188" t="s">
        <v>67</v>
      </c>
      <c r="H188" t="s">
        <v>22</v>
      </c>
      <c r="I188" t="s">
        <v>23</v>
      </c>
      <c r="J188" t="s">
        <v>161</v>
      </c>
      <c r="K188" t="s">
        <v>162</v>
      </c>
      <c r="L188" t="s">
        <v>62</v>
      </c>
      <c r="M188" t="s">
        <v>27</v>
      </c>
      <c r="N188" t="s">
        <v>63</v>
      </c>
      <c r="O188" s="2">
        <v>873.32</v>
      </c>
      <c r="P188">
        <v>6</v>
      </c>
      <c r="Q188" s="3">
        <v>0.05</v>
      </c>
      <c r="R188" s="2">
        <v>198.64</v>
      </c>
    </row>
    <row r="189" spans="1:18" x14ac:dyDescent="0.25">
      <c r="A189">
        <v>188</v>
      </c>
      <c r="B189" t="s">
        <v>332</v>
      </c>
      <c r="C189" s="5">
        <v>45903</v>
      </c>
      <c r="D189" s="5">
        <v>45905</v>
      </c>
      <c r="E189" t="s">
        <v>30</v>
      </c>
      <c r="F189" t="s">
        <v>203</v>
      </c>
      <c r="G189" t="s">
        <v>77</v>
      </c>
      <c r="H189" t="s">
        <v>54</v>
      </c>
      <c r="I189" t="s">
        <v>23</v>
      </c>
      <c r="J189" t="s">
        <v>176</v>
      </c>
      <c r="K189" t="s">
        <v>162</v>
      </c>
      <c r="L189" t="s">
        <v>62</v>
      </c>
      <c r="M189" t="s">
        <v>27</v>
      </c>
      <c r="N189" t="s">
        <v>63</v>
      </c>
      <c r="O189" s="2">
        <v>726.01</v>
      </c>
      <c r="P189">
        <v>4</v>
      </c>
      <c r="Q189" s="3">
        <v>0.15</v>
      </c>
      <c r="R189" s="2">
        <v>-7.21</v>
      </c>
    </row>
    <row r="190" spans="1:18" x14ac:dyDescent="0.25">
      <c r="A190">
        <v>189</v>
      </c>
      <c r="B190" t="s">
        <v>333</v>
      </c>
      <c r="C190" s="5">
        <v>45815</v>
      </c>
      <c r="D190" s="5">
        <v>45818</v>
      </c>
      <c r="E190" t="s">
        <v>45</v>
      </c>
      <c r="F190" t="s">
        <v>141</v>
      </c>
      <c r="G190" t="s">
        <v>59</v>
      </c>
      <c r="H190" t="s">
        <v>74</v>
      </c>
      <c r="I190" t="s">
        <v>23</v>
      </c>
      <c r="J190" t="s">
        <v>120</v>
      </c>
      <c r="K190" t="s">
        <v>108</v>
      </c>
      <c r="L190" t="s">
        <v>70</v>
      </c>
      <c r="M190" t="s">
        <v>27</v>
      </c>
      <c r="N190" t="s">
        <v>94</v>
      </c>
      <c r="O190" s="2">
        <v>849.49</v>
      </c>
      <c r="P190">
        <v>8</v>
      </c>
      <c r="Q190" s="3">
        <v>0.3</v>
      </c>
      <c r="R190" s="2">
        <v>126.49</v>
      </c>
    </row>
    <row r="191" spans="1:18" x14ac:dyDescent="0.25">
      <c r="A191">
        <v>190</v>
      </c>
      <c r="B191" t="s">
        <v>334</v>
      </c>
      <c r="C191" s="5">
        <v>45946</v>
      </c>
      <c r="D191" s="5">
        <v>45948</v>
      </c>
      <c r="E191" t="s">
        <v>30</v>
      </c>
      <c r="F191" t="s">
        <v>205</v>
      </c>
      <c r="G191" t="s">
        <v>104</v>
      </c>
      <c r="H191" t="s">
        <v>74</v>
      </c>
      <c r="I191" t="s">
        <v>23</v>
      </c>
      <c r="J191" t="s">
        <v>75</v>
      </c>
      <c r="K191" t="s">
        <v>41</v>
      </c>
      <c r="L191" t="s">
        <v>35</v>
      </c>
      <c r="M191" t="s">
        <v>42</v>
      </c>
      <c r="N191" t="s">
        <v>43</v>
      </c>
      <c r="O191" s="2">
        <v>1004.89</v>
      </c>
      <c r="P191">
        <v>10</v>
      </c>
      <c r="Q191" s="3">
        <v>0.15</v>
      </c>
      <c r="R191" s="2">
        <v>130.13999999999999</v>
      </c>
    </row>
    <row r="192" spans="1:18" x14ac:dyDescent="0.25">
      <c r="A192">
        <v>191</v>
      </c>
      <c r="B192" t="s">
        <v>335</v>
      </c>
      <c r="C192" s="5">
        <v>45852</v>
      </c>
      <c r="D192" s="5">
        <v>45857</v>
      </c>
      <c r="E192" t="s">
        <v>65</v>
      </c>
      <c r="F192" t="s">
        <v>164</v>
      </c>
      <c r="G192" t="s">
        <v>127</v>
      </c>
      <c r="H192" t="s">
        <v>54</v>
      </c>
      <c r="I192" t="s">
        <v>23</v>
      </c>
      <c r="J192" t="s">
        <v>33</v>
      </c>
      <c r="K192" t="s">
        <v>34</v>
      </c>
      <c r="L192" t="s">
        <v>35</v>
      </c>
      <c r="M192" t="s">
        <v>50</v>
      </c>
      <c r="N192" t="s">
        <v>156</v>
      </c>
      <c r="O192" s="2">
        <v>1185.2</v>
      </c>
      <c r="P192">
        <v>6</v>
      </c>
      <c r="Q192" s="3">
        <v>0.05</v>
      </c>
      <c r="R192" s="2">
        <v>189.25</v>
      </c>
    </row>
    <row r="193" spans="1:18" x14ac:dyDescent="0.25">
      <c r="A193">
        <v>192</v>
      </c>
      <c r="B193" t="s">
        <v>336</v>
      </c>
      <c r="C193" s="5">
        <v>45893</v>
      </c>
      <c r="D193" s="5">
        <v>45895</v>
      </c>
      <c r="E193" t="s">
        <v>19</v>
      </c>
      <c r="F193" t="s">
        <v>199</v>
      </c>
      <c r="G193" t="s">
        <v>81</v>
      </c>
      <c r="H193" t="s">
        <v>22</v>
      </c>
      <c r="I193" t="s">
        <v>23</v>
      </c>
      <c r="J193" t="s">
        <v>120</v>
      </c>
      <c r="K193" t="s">
        <v>108</v>
      </c>
      <c r="L193" t="s">
        <v>70</v>
      </c>
      <c r="M193" t="s">
        <v>42</v>
      </c>
      <c r="N193" t="s">
        <v>113</v>
      </c>
      <c r="O193" s="2">
        <v>1302.1600000000001</v>
      </c>
      <c r="P193">
        <v>8</v>
      </c>
      <c r="Q193" s="3">
        <v>0</v>
      </c>
      <c r="R193" s="2">
        <v>287.67</v>
      </c>
    </row>
    <row r="194" spans="1:18" x14ac:dyDescent="0.25">
      <c r="A194">
        <v>193</v>
      </c>
      <c r="B194" t="s">
        <v>337</v>
      </c>
      <c r="C194" s="5">
        <v>45661</v>
      </c>
      <c r="D194" s="5">
        <v>45665</v>
      </c>
      <c r="E194" t="s">
        <v>65</v>
      </c>
      <c r="F194" t="s">
        <v>141</v>
      </c>
      <c r="G194" t="s">
        <v>81</v>
      </c>
      <c r="H194" t="s">
        <v>54</v>
      </c>
      <c r="I194" t="s">
        <v>23</v>
      </c>
      <c r="J194" t="s">
        <v>40</v>
      </c>
      <c r="K194" t="s">
        <v>41</v>
      </c>
      <c r="L194" t="s">
        <v>35</v>
      </c>
      <c r="M194" t="s">
        <v>27</v>
      </c>
      <c r="N194" t="s">
        <v>63</v>
      </c>
      <c r="O194" s="2">
        <v>140.97999999999999</v>
      </c>
      <c r="P194">
        <v>3</v>
      </c>
      <c r="Q194" s="3">
        <v>0</v>
      </c>
      <c r="R194" s="2">
        <v>-3.31</v>
      </c>
    </row>
    <row r="195" spans="1:18" x14ac:dyDescent="0.25">
      <c r="A195">
        <v>194</v>
      </c>
      <c r="B195" t="s">
        <v>338</v>
      </c>
      <c r="C195" s="5">
        <v>45999</v>
      </c>
      <c r="D195" s="5">
        <v>46004</v>
      </c>
      <c r="E195" t="s">
        <v>19</v>
      </c>
      <c r="F195" t="s">
        <v>199</v>
      </c>
      <c r="G195" t="s">
        <v>88</v>
      </c>
      <c r="H195" t="s">
        <v>74</v>
      </c>
      <c r="I195" t="s">
        <v>23</v>
      </c>
      <c r="J195" t="s">
        <v>147</v>
      </c>
      <c r="K195" t="s">
        <v>90</v>
      </c>
      <c r="L195" t="s">
        <v>62</v>
      </c>
      <c r="M195" t="s">
        <v>27</v>
      </c>
      <c r="N195" t="s">
        <v>94</v>
      </c>
      <c r="O195" s="2">
        <v>48</v>
      </c>
      <c r="P195">
        <v>9</v>
      </c>
      <c r="Q195" s="3">
        <v>0.15</v>
      </c>
      <c r="R195" s="2">
        <v>1.03</v>
      </c>
    </row>
    <row r="196" spans="1:18" x14ac:dyDescent="0.25">
      <c r="A196">
        <v>195</v>
      </c>
      <c r="B196" t="s">
        <v>339</v>
      </c>
      <c r="C196" s="5">
        <v>45666</v>
      </c>
      <c r="D196" s="5">
        <v>45671</v>
      </c>
      <c r="E196" t="s">
        <v>30</v>
      </c>
      <c r="F196" t="s">
        <v>131</v>
      </c>
      <c r="G196" t="s">
        <v>39</v>
      </c>
      <c r="H196" t="s">
        <v>74</v>
      </c>
      <c r="I196" t="s">
        <v>23</v>
      </c>
      <c r="J196" t="s">
        <v>239</v>
      </c>
      <c r="K196" t="s">
        <v>69</v>
      </c>
      <c r="L196" t="s">
        <v>70</v>
      </c>
      <c r="M196" t="s">
        <v>42</v>
      </c>
      <c r="N196" t="s">
        <v>91</v>
      </c>
      <c r="O196" s="2">
        <v>1654.13</v>
      </c>
      <c r="P196">
        <v>9</v>
      </c>
      <c r="Q196" s="3">
        <v>0</v>
      </c>
      <c r="R196" s="2">
        <v>-25.91</v>
      </c>
    </row>
    <row r="197" spans="1:18" x14ac:dyDescent="0.25">
      <c r="A197">
        <v>196</v>
      </c>
      <c r="B197" t="s">
        <v>340</v>
      </c>
      <c r="C197" s="5">
        <v>45849</v>
      </c>
      <c r="D197" s="5">
        <v>45853</v>
      </c>
      <c r="E197" t="s">
        <v>19</v>
      </c>
      <c r="F197" t="s">
        <v>274</v>
      </c>
      <c r="G197" t="s">
        <v>135</v>
      </c>
      <c r="H197" t="s">
        <v>54</v>
      </c>
      <c r="I197" t="s">
        <v>23</v>
      </c>
      <c r="J197" t="s">
        <v>89</v>
      </c>
      <c r="K197" t="s">
        <v>90</v>
      </c>
      <c r="L197" t="s">
        <v>62</v>
      </c>
      <c r="M197" t="s">
        <v>27</v>
      </c>
      <c r="N197" t="s">
        <v>63</v>
      </c>
      <c r="O197" s="2">
        <v>1782.61</v>
      </c>
      <c r="P197">
        <v>4</v>
      </c>
      <c r="Q197" s="3">
        <v>0.05</v>
      </c>
      <c r="R197" s="2">
        <v>235.15</v>
      </c>
    </row>
    <row r="198" spans="1:18" x14ac:dyDescent="0.25">
      <c r="A198">
        <v>197</v>
      </c>
      <c r="B198" t="s">
        <v>341</v>
      </c>
      <c r="C198" s="5">
        <v>45705</v>
      </c>
      <c r="D198" s="5">
        <v>45709</v>
      </c>
      <c r="E198" t="s">
        <v>65</v>
      </c>
      <c r="F198" t="s">
        <v>138</v>
      </c>
      <c r="G198" t="s">
        <v>127</v>
      </c>
      <c r="H198" t="s">
        <v>74</v>
      </c>
      <c r="I198" t="s">
        <v>23</v>
      </c>
      <c r="J198" t="s">
        <v>239</v>
      </c>
      <c r="K198" t="s">
        <v>69</v>
      </c>
      <c r="L198" t="s">
        <v>70</v>
      </c>
      <c r="M198" t="s">
        <v>50</v>
      </c>
      <c r="N198" t="s">
        <v>156</v>
      </c>
      <c r="O198" s="2">
        <v>867.29</v>
      </c>
      <c r="P198">
        <v>1</v>
      </c>
      <c r="Q198" s="3">
        <v>0.2</v>
      </c>
      <c r="R198" s="2">
        <v>-60.72</v>
      </c>
    </row>
    <row r="199" spans="1:18" x14ac:dyDescent="0.25">
      <c r="A199">
        <v>198</v>
      </c>
      <c r="B199" t="s">
        <v>342</v>
      </c>
      <c r="C199" s="5">
        <v>45928</v>
      </c>
      <c r="D199" s="5">
        <v>45929</v>
      </c>
      <c r="E199" t="s">
        <v>19</v>
      </c>
      <c r="F199" t="s">
        <v>271</v>
      </c>
      <c r="G199" t="s">
        <v>67</v>
      </c>
      <c r="H199" t="s">
        <v>74</v>
      </c>
      <c r="I199" t="s">
        <v>23</v>
      </c>
      <c r="J199" t="s">
        <v>55</v>
      </c>
      <c r="K199" t="s">
        <v>34</v>
      </c>
      <c r="L199" t="s">
        <v>35</v>
      </c>
      <c r="M199" t="s">
        <v>42</v>
      </c>
      <c r="N199" t="s">
        <v>56</v>
      </c>
      <c r="O199" s="2">
        <v>502.55</v>
      </c>
      <c r="P199">
        <v>2</v>
      </c>
      <c r="Q199" s="3">
        <v>0.2</v>
      </c>
      <c r="R199" s="2">
        <v>97.47</v>
      </c>
    </row>
    <row r="200" spans="1:18" x14ac:dyDescent="0.25">
      <c r="A200">
        <v>199</v>
      </c>
      <c r="B200" t="s">
        <v>343</v>
      </c>
      <c r="C200" s="5">
        <v>45764</v>
      </c>
      <c r="D200" s="5">
        <v>45769</v>
      </c>
      <c r="E200" t="s">
        <v>65</v>
      </c>
      <c r="F200" t="s">
        <v>58</v>
      </c>
      <c r="G200" t="s">
        <v>67</v>
      </c>
      <c r="H200" t="s">
        <v>54</v>
      </c>
      <c r="I200" t="s">
        <v>23</v>
      </c>
      <c r="J200" t="s">
        <v>78</v>
      </c>
      <c r="K200" t="s">
        <v>41</v>
      </c>
      <c r="L200" t="s">
        <v>35</v>
      </c>
      <c r="M200" t="s">
        <v>27</v>
      </c>
      <c r="N200" t="s">
        <v>94</v>
      </c>
      <c r="O200" s="2">
        <v>1673.4</v>
      </c>
      <c r="P200">
        <v>5</v>
      </c>
      <c r="Q200" s="3">
        <v>0</v>
      </c>
      <c r="R200" s="2">
        <v>162.96</v>
      </c>
    </row>
    <row r="201" spans="1:18" x14ac:dyDescent="0.25">
      <c r="A201">
        <v>200</v>
      </c>
      <c r="B201" t="s">
        <v>344</v>
      </c>
      <c r="C201" s="5">
        <v>45854</v>
      </c>
      <c r="D201" s="5">
        <v>45856</v>
      </c>
      <c r="E201" t="s">
        <v>30</v>
      </c>
      <c r="F201" t="s">
        <v>38</v>
      </c>
      <c r="G201" t="s">
        <v>32</v>
      </c>
      <c r="H201" t="s">
        <v>54</v>
      </c>
      <c r="I201" t="s">
        <v>23</v>
      </c>
      <c r="J201" t="s">
        <v>82</v>
      </c>
      <c r="K201" t="s">
        <v>49</v>
      </c>
      <c r="L201" t="s">
        <v>26</v>
      </c>
      <c r="M201" t="s">
        <v>27</v>
      </c>
      <c r="N201" t="s">
        <v>28</v>
      </c>
      <c r="O201" s="2">
        <v>115.58</v>
      </c>
      <c r="P201">
        <v>7</v>
      </c>
      <c r="Q201" s="3">
        <v>0</v>
      </c>
      <c r="R201" s="2">
        <v>22.37</v>
      </c>
    </row>
    <row r="202" spans="1:18" x14ac:dyDescent="0.25">
      <c r="A202">
        <v>201</v>
      </c>
      <c r="B202" t="s">
        <v>345</v>
      </c>
      <c r="C202" s="5">
        <v>45825</v>
      </c>
      <c r="D202" s="5">
        <v>45826</v>
      </c>
      <c r="E202" t="s">
        <v>65</v>
      </c>
      <c r="F202" t="s">
        <v>87</v>
      </c>
      <c r="G202" t="s">
        <v>32</v>
      </c>
      <c r="H202" t="s">
        <v>54</v>
      </c>
      <c r="I202" t="s">
        <v>23</v>
      </c>
      <c r="J202" t="s">
        <v>179</v>
      </c>
      <c r="K202" t="s">
        <v>98</v>
      </c>
      <c r="L202" t="s">
        <v>70</v>
      </c>
      <c r="M202" t="s">
        <v>50</v>
      </c>
      <c r="N202" t="s">
        <v>109</v>
      </c>
      <c r="O202" s="2">
        <v>426.09</v>
      </c>
      <c r="P202">
        <v>9</v>
      </c>
      <c r="Q202" s="3">
        <v>0.1</v>
      </c>
      <c r="R202" s="2">
        <v>15.4</v>
      </c>
    </row>
    <row r="203" spans="1:18" x14ac:dyDescent="0.25">
      <c r="A203">
        <v>202</v>
      </c>
      <c r="B203" t="s">
        <v>346</v>
      </c>
      <c r="C203" s="5">
        <v>45784</v>
      </c>
      <c r="D203" s="5">
        <v>45785</v>
      </c>
      <c r="E203" t="s">
        <v>30</v>
      </c>
      <c r="F203" t="s">
        <v>299</v>
      </c>
      <c r="G203" t="s">
        <v>47</v>
      </c>
      <c r="H203" t="s">
        <v>22</v>
      </c>
      <c r="I203" t="s">
        <v>23</v>
      </c>
      <c r="J203" t="s">
        <v>82</v>
      </c>
      <c r="K203" t="s">
        <v>49</v>
      </c>
      <c r="L203" t="s">
        <v>26</v>
      </c>
      <c r="M203" t="s">
        <v>50</v>
      </c>
      <c r="N203" t="s">
        <v>151</v>
      </c>
      <c r="O203" s="2">
        <v>696.4</v>
      </c>
      <c r="P203">
        <v>3</v>
      </c>
      <c r="Q203" s="3">
        <v>0.2</v>
      </c>
      <c r="R203" s="2">
        <v>4.43</v>
      </c>
    </row>
    <row r="204" spans="1:18" x14ac:dyDescent="0.25">
      <c r="A204">
        <v>203</v>
      </c>
      <c r="B204" t="s">
        <v>347</v>
      </c>
      <c r="C204" s="5">
        <v>45885</v>
      </c>
      <c r="D204" s="5">
        <v>45888</v>
      </c>
      <c r="E204" t="s">
        <v>65</v>
      </c>
      <c r="F204" t="s">
        <v>299</v>
      </c>
      <c r="G204" t="s">
        <v>81</v>
      </c>
      <c r="H204" t="s">
        <v>22</v>
      </c>
      <c r="I204" t="s">
        <v>23</v>
      </c>
      <c r="J204" t="s">
        <v>179</v>
      </c>
      <c r="K204" t="s">
        <v>98</v>
      </c>
      <c r="L204" t="s">
        <v>70</v>
      </c>
      <c r="M204" t="s">
        <v>42</v>
      </c>
      <c r="N204" t="s">
        <v>113</v>
      </c>
      <c r="O204" s="2">
        <v>175.39</v>
      </c>
      <c r="P204">
        <v>7</v>
      </c>
      <c r="Q204" s="3">
        <v>0.1</v>
      </c>
      <c r="R204" s="2">
        <v>14.02</v>
      </c>
    </row>
    <row r="205" spans="1:18" x14ac:dyDescent="0.25">
      <c r="A205">
        <v>204</v>
      </c>
      <c r="B205" t="s">
        <v>348</v>
      </c>
      <c r="C205" s="5">
        <v>45941</v>
      </c>
      <c r="D205" s="5">
        <v>45942</v>
      </c>
      <c r="E205" t="s">
        <v>19</v>
      </c>
      <c r="F205" t="s">
        <v>164</v>
      </c>
      <c r="G205" t="s">
        <v>67</v>
      </c>
      <c r="H205" t="s">
        <v>54</v>
      </c>
      <c r="I205" t="s">
        <v>23</v>
      </c>
      <c r="J205" t="s">
        <v>161</v>
      </c>
      <c r="K205" t="s">
        <v>162</v>
      </c>
      <c r="L205" t="s">
        <v>62</v>
      </c>
      <c r="M205" t="s">
        <v>27</v>
      </c>
      <c r="N205" t="s">
        <v>28</v>
      </c>
      <c r="O205" s="2">
        <v>1557.42</v>
      </c>
      <c r="P205">
        <v>1</v>
      </c>
      <c r="Q205" s="3">
        <v>0.05</v>
      </c>
      <c r="R205" s="2">
        <v>58.14</v>
      </c>
    </row>
    <row r="206" spans="1:18" x14ac:dyDescent="0.25">
      <c r="A206">
        <v>205</v>
      </c>
      <c r="B206" t="s">
        <v>349</v>
      </c>
      <c r="C206" s="5">
        <v>45950</v>
      </c>
      <c r="D206" s="5">
        <v>45955</v>
      </c>
      <c r="E206" t="s">
        <v>45</v>
      </c>
      <c r="F206" t="s">
        <v>210</v>
      </c>
      <c r="G206" t="s">
        <v>85</v>
      </c>
      <c r="H206" t="s">
        <v>74</v>
      </c>
      <c r="I206" t="s">
        <v>23</v>
      </c>
      <c r="J206" t="s">
        <v>78</v>
      </c>
      <c r="K206" t="s">
        <v>41</v>
      </c>
      <c r="L206" t="s">
        <v>35</v>
      </c>
      <c r="M206" t="s">
        <v>27</v>
      </c>
      <c r="N206" t="s">
        <v>94</v>
      </c>
      <c r="O206" s="2">
        <v>321.70999999999998</v>
      </c>
      <c r="P206">
        <v>5</v>
      </c>
      <c r="Q206" s="3">
        <v>0.05</v>
      </c>
      <c r="R206" s="2">
        <v>-4.3600000000000003</v>
      </c>
    </row>
    <row r="207" spans="1:18" x14ac:dyDescent="0.25">
      <c r="A207">
        <v>206</v>
      </c>
      <c r="B207" t="s">
        <v>350</v>
      </c>
      <c r="C207" s="5">
        <v>45873</v>
      </c>
      <c r="D207" s="5">
        <v>45876</v>
      </c>
      <c r="E207" t="s">
        <v>45</v>
      </c>
      <c r="F207" t="s">
        <v>80</v>
      </c>
      <c r="G207" t="s">
        <v>47</v>
      </c>
      <c r="H207" t="s">
        <v>22</v>
      </c>
      <c r="I207" t="s">
        <v>23</v>
      </c>
      <c r="J207" t="s">
        <v>147</v>
      </c>
      <c r="K207" t="s">
        <v>90</v>
      </c>
      <c r="L207" t="s">
        <v>62</v>
      </c>
      <c r="M207" t="s">
        <v>42</v>
      </c>
      <c r="N207" t="s">
        <v>43</v>
      </c>
      <c r="O207" s="2">
        <v>468.03</v>
      </c>
      <c r="P207">
        <v>4</v>
      </c>
      <c r="Q207" s="3">
        <v>0.2</v>
      </c>
      <c r="R207" s="2">
        <v>41.54</v>
      </c>
    </row>
    <row r="208" spans="1:18" x14ac:dyDescent="0.25">
      <c r="A208">
        <v>207</v>
      </c>
      <c r="B208" t="s">
        <v>351</v>
      </c>
      <c r="C208" s="5">
        <v>45661</v>
      </c>
      <c r="D208" s="5">
        <v>45665</v>
      </c>
      <c r="E208" t="s">
        <v>45</v>
      </c>
      <c r="F208" t="s">
        <v>220</v>
      </c>
      <c r="G208" t="s">
        <v>59</v>
      </c>
      <c r="H208" t="s">
        <v>54</v>
      </c>
      <c r="I208" t="s">
        <v>23</v>
      </c>
      <c r="J208" t="s">
        <v>120</v>
      </c>
      <c r="K208" t="s">
        <v>108</v>
      </c>
      <c r="L208" t="s">
        <v>70</v>
      </c>
      <c r="M208" t="s">
        <v>27</v>
      </c>
      <c r="N208" t="s">
        <v>94</v>
      </c>
      <c r="O208" s="2">
        <v>1451.26</v>
      </c>
      <c r="P208">
        <v>6</v>
      </c>
      <c r="Q208" s="3">
        <v>0.1</v>
      </c>
      <c r="R208" s="2">
        <v>3.13</v>
      </c>
    </row>
    <row r="209" spans="1:18" x14ac:dyDescent="0.25">
      <c r="A209">
        <v>208</v>
      </c>
      <c r="B209" t="s">
        <v>352</v>
      </c>
      <c r="C209" s="5">
        <v>45903</v>
      </c>
      <c r="D209" s="5">
        <v>45906</v>
      </c>
      <c r="E209" t="s">
        <v>30</v>
      </c>
      <c r="F209" t="s">
        <v>203</v>
      </c>
      <c r="G209" t="s">
        <v>39</v>
      </c>
      <c r="H209" t="s">
        <v>74</v>
      </c>
      <c r="I209" t="s">
        <v>23</v>
      </c>
      <c r="J209" t="s">
        <v>78</v>
      </c>
      <c r="K209" t="s">
        <v>41</v>
      </c>
      <c r="L209" t="s">
        <v>35</v>
      </c>
      <c r="M209" t="s">
        <v>50</v>
      </c>
      <c r="N209" t="s">
        <v>136</v>
      </c>
      <c r="O209" s="2">
        <v>538.78</v>
      </c>
      <c r="P209">
        <v>8</v>
      </c>
      <c r="Q209" s="3">
        <v>0.15</v>
      </c>
      <c r="R209" s="2">
        <v>81.459999999999994</v>
      </c>
    </row>
    <row r="210" spans="1:18" x14ac:dyDescent="0.25">
      <c r="A210">
        <v>209</v>
      </c>
      <c r="B210" t="s">
        <v>353</v>
      </c>
      <c r="C210" s="5">
        <v>45716</v>
      </c>
      <c r="D210" s="5">
        <v>45721</v>
      </c>
      <c r="E210" t="s">
        <v>65</v>
      </c>
      <c r="F210" t="s">
        <v>46</v>
      </c>
      <c r="G210" t="s">
        <v>104</v>
      </c>
      <c r="H210" t="s">
        <v>74</v>
      </c>
      <c r="I210" t="s">
        <v>23</v>
      </c>
      <c r="J210" t="s">
        <v>33</v>
      </c>
      <c r="K210" t="s">
        <v>34</v>
      </c>
      <c r="L210" t="s">
        <v>35</v>
      </c>
      <c r="M210" t="s">
        <v>27</v>
      </c>
      <c r="N210" t="s">
        <v>63</v>
      </c>
      <c r="O210" s="2">
        <v>1233.45</v>
      </c>
      <c r="P210">
        <v>9</v>
      </c>
      <c r="Q210" s="3">
        <v>0</v>
      </c>
      <c r="R210" s="2">
        <v>288.07</v>
      </c>
    </row>
    <row r="211" spans="1:18" x14ac:dyDescent="0.25">
      <c r="A211">
        <v>210</v>
      </c>
      <c r="B211" t="s">
        <v>354</v>
      </c>
      <c r="C211" s="5">
        <v>46012</v>
      </c>
      <c r="D211" s="5">
        <v>46013</v>
      </c>
      <c r="E211" t="s">
        <v>45</v>
      </c>
      <c r="F211" t="s">
        <v>46</v>
      </c>
      <c r="G211" t="s">
        <v>21</v>
      </c>
      <c r="H211" t="s">
        <v>74</v>
      </c>
      <c r="I211" t="s">
        <v>23</v>
      </c>
      <c r="J211" t="s">
        <v>239</v>
      </c>
      <c r="K211" t="s">
        <v>69</v>
      </c>
      <c r="L211" t="s">
        <v>70</v>
      </c>
      <c r="M211" t="s">
        <v>27</v>
      </c>
      <c r="N211" t="s">
        <v>94</v>
      </c>
      <c r="O211" s="2">
        <v>267.74</v>
      </c>
      <c r="P211">
        <v>5</v>
      </c>
      <c r="Q211" s="3">
        <v>0</v>
      </c>
      <c r="R211" s="2">
        <v>-3.1</v>
      </c>
    </row>
    <row r="212" spans="1:18" x14ac:dyDescent="0.25">
      <c r="A212">
        <v>211</v>
      </c>
      <c r="B212" t="s">
        <v>355</v>
      </c>
      <c r="C212" s="5">
        <v>45887</v>
      </c>
      <c r="D212" s="5">
        <v>45892</v>
      </c>
      <c r="E212" t="s">
        <v>30</v>
      </c>
      <c r="F212" t="s">
        <v>217</v>
      </c>
      <c r="G212" t="s">
        <v>67</v>
      </c>
      <c r="H212" t="s">
        <v>54</v>
      </c>
      <c r="I212" t="s">
        <v>23</v>
      </c>
      <c r="J212" t="s">
        <v>89</v>
      </c>
      <c r="K212" t="s">
        <v>90</v>
      </c>
      <c r="L212" t="s">
        <v>62</v>
      </c>
      <c r="M212" t="s">
        <v>27</v>
      </c>
      <c r="N212" t="s">
        <v>94</v>
      </c>
      <c r="O212" s="2">
        <v>971.17</v>
      </c>
      <c r="P212">
        <v>7</v>
      </c>
      <c r="Q212" s="3">
        <v>0.15</v>
      </c>
      <c r="R212" s="2">
        <v>-106.47</v>
      </c>
    </row>
    <row r="213" spans="1:18" x14ac:dyDescent="0.25">
      <c r="A213">
        <v>212</v>
      </c>
      <c r="B213" t="s">
        <v>356</v>
      </c>
      <c r="C213" s="5">
        <v>45713</v>
      </c>
      <c r="D213" s="5">
        <v>45715</v>
      </c>
      <c r="E213" t="s">
        <v>65</v>
      </c>
      <c r="F213" t="s">
        <v>299</v>
      </c>
      <c r="G213" t="s">
        <v>81</v>
      </c>
      <c r="H213" t="s">
        <v>22</v>
      </c>
      <c r="I213" t="s">
        <v>23</v>
      </c>
      <c r="J213" t="s">
        <v>107</v>
      </c>
      <c r="K213" t="s">
        <v>108</v>
      </c>
      <c r="L213" t="s">
        <v>70</v>
      </c>
      <c r="M213" t="s">
        <v>42</v>
      </c>
      <c r="N213" t="s">
        <v>91</v>
      </c>
      <c r="O213" s="2">
        <v>1022.53</v>
      </c>
      <c r="P213">
        <v>7</v>
      </c>
      <c r="Q213" s="3">
        <v>0.3</v>
      </c>
      <c r="R213" s="2">
        <v>-29.59</v>
      </c>
    </row>
    <row r="214" spans="1:18" x14ac:dyDescent="0.25">
      <c r="A214">
        <v>213</v>
      </c>
      <c r="B214" t="s">
        <v>357</v>
      </c>
      <c r="C214" s="5">
        <v>45771</v>
      </c>
      <c r="D214" s="5">
        <v>45776</v>
      </c>
      <c r="E214" t="s">
        <v>45</v>
      </c>
      <c r="F214" t="s">
        <v>131</v>
      </c>
      <c r="G214" t="s">
        <v>81</v>
      </c>
      <c r="H214" t="s">
        <v>74</v>
      </c>
      <c r="I214" t="s">
        <v>23</v>
      </c>
      <c r="J214" t="s">
        <v>60</v>
      </c>
      <c r="K214" t="s">
        <v>61</v>
      </c>
      <c r="L214" t="s">
        <v>62</v>
      </c>
      <c r="M214" t="s">
        <v>27</v>
      </c>
      <c r="N214" t="s">
        <v>63</v>
      </c>
      <c r="O214" s="2">
        <v>813.49</v>
      </c>
      <c r="P214">
        <v>7</v>
      </c>
      <c r="Q214" s="3">
        <v>0.1</v>
      </c>
      <c r="R214" s="2">
        <v>126.35</v>
      </c>
    </row>
    <row r="215" spans="1:18" x14ac:dyDescent="0.25">
      <c r="A215">
        <v>214</v>
      </c>
      <c r="B215" t="s">
        <v>358</v>
      </c>
      <c r="C215" s="5">
        <v>45809</v>
      </c>
      <c r="D215" s="5">
        <v>45813</v>
      </c>
      <c r="E215" t="s">
        <v>65</v>
      </c>
      <c r="F215" t="s">
        <v>131</v>
      </c>
      <c r="G215" t="s">
        <v>77</v>
      </c>
      <c r="H215" t="s">
        <v>22</v>
      </c>
      <c r="I215" t="s">
        <v>23</v>
      </c>
      <c r="J215" t="s">
        <v>82</v>
      </c>
      <c r="K215" t="s">
        <v>49</v>
      </c>
      <c r="L215" t="s">
        <v>26</v>
      </c>
      <c r="M215" t="s">
        <v>42</v>
      </c>
      <c r="N215" t="s">
        <v>113</v>
      </c>
      <c r="O215" s="2">
        <v>640.03</v>
      </c>
      <c r="P215">
        <v>6</v>
      </c>
      <c r="Q215" s="3">
        <v>0.1</v>
      </c>
      <c r="R215" s="2">
        <v>102.08</v>
      </c>
    </row>
    <row r="216" spans="1:18" x14ac:dyDescent="0.25">
      <c r="A216">
        <v>215</v>
      </c>
      <c r="B216" t="s">
        <v>359</v>
      </c>
      <c r="C216" s="5">
        <v>46014</v>
      </c>
      <c r="D216" s="5">
        <v>46018</v>
      </c>
      <c r="E216" t="s">
        <v>19</v>
      </c>
      <c r="F216" t="s">
        <v>58</v>
      </c>
      <c r="G216" t="s">
        <v>32</v>
      </c>
      <c r="H216" t="s">
        <v>22</v>
      </c>
      <c r="I216" t="s">
        <v>23</v>
      </c>
      <c r="J216" t="s">
        <v>120</v>
      </c>
      <c r="K216" t="s">
        <v>108</v>
      </c>
      <c r="L216" t="s">
        <v>70</v>
      </c>
      <c r="M216" t="s">
        <v>42</v>
      </c>
      <c r="N216" t="s">
        <v>43</v>
      </c>
      <c r="O216" s="2">
        <v>99.54</v>
      </c>
      <c r="P216">
        <v>2</v>
      </c>
      <c r="Q216" s="3">
        <v>0</v>
      </c>
      <c r="R216" s="2">
        <v>19.63</v>
      </c>
    </row>
    <row r="217" spans="1:18" x14ac:dyDescent="0.25">
      <c r="A217">
        <v>216</v>
      </c>
      <c r="B217" t="s">
        <v>360</v>
      </c>
      <c r="C217" s="5">
        <v>45922</v>
      </c>
      <c r="D217" s="5">
        <v>45924</v>
      </c>
      <c r="E217" t="s">
        <v>45</v>
      </c>
      <c r="F217" t="s">
        <v>271</v>
      </c>
      <c r="G217" t="s">
        <v>127</v>
      </c>
      <c r="H217" t="s">
        <v>54</v>
      </c>
      <c r="I217" t="s">
        <v>23</v>
      </c>
      <c r="J217" t="s">
        <v>155</v>
      </c>
      <c r="K217" t="s">
        <v>61</v>
      </c>
      <c r="L217" t="s">
        <v>62</v>
      </c>
      <c r="M217" t="s">
        <v>42</v>
      </c>
      <c r="N217" t="s">
        <v>43</v>
      </c>
      <c r="O217" s="2">
        <v>1016.53</v>
      </c>
      <c r="P217">
        <v>8</v>
      </c>
      <c r="Q217" s="3">
        <v>0</v>
      </c>
      <c r="R217" s="2">
        <v>182.18</v>
      </c>
    </row>
    <row r="218" spans="1:18" x14ac:dyDescent="0.25">
      <c r="A218">
        <v>217</v>
      </c>
      <c r="B218" t="s">
        <v>361</v>
      </c>
      <c r="C218" s="5">
        <v>45860</v>
      </c>
      <c r="D218" s="5">
        <v>45861</v>
      </c>
      <c r="E218" t="s">
        <v>45</v>
      </c>
      <c r="F218" t="s">
        <v>227</v>
      </c>
      <c r="G218" t="s">
        <v>32</v>
      </c>
      <c r="H218" t="s">
        <v>54</v>
      </c>
      <c r="I218" t="s">
        <v>23</v>
      </c>
      <c r="J218" t="s">
        <v>161</v>
      </c>
      <c r="K218" t="s">
        <v>162</v>
      </c>
      <c r="L218" t="s">
        <v>62</v>
      </c>
      <c r="M218" t="s">
        <v>42</v>
      </c>
      <c r="N218" t="s">
        <v>56</v>
      </c>
      <c r="O218" s="2">
        <v>1074.1199999999999</v>
      </c>
      <c r="P218">
        <v>7</v>
      </c>
      <c r="Q218" s="3">
        <v>0</v>
      </c>
      <c r="R218" s="2">
        <v>157.53</v>
      </c>
    </row>
    <row r="219" spans="1:18" x14ac:dyDescent="0.25">
      <c r="A219">
        <v>218</v>
      </c>
      <c r="B219" t="s">
        <v>362</v>
      </c>
      <c r="C219" s="5">
        <v>45953</v>
      </c>
      <c r="D219" s="5">
        <v>45954</v>
      </c>
      <c r="E219" t="s">
        <v>65</v>
      </c>
      <c r="F219" t="s">
        <v>199</v>
      </c>
      <c r="G219" t="s">
        <v>127</v>
      </c>
      <c r="H219" t="s">
        <v>74</v>
      </c>
      <c r="I219" t="s">
        <v>23</v>
      </c>
      <c r="J219" t="s">
        <v>155</v>
      </c>
      <c r="K219" t="s">
        <v>61</v>
      </c>
      <c r="L219" t="s">
        <v>62</v>
      </c>
      <c r="M219" t="s">
        <v>42</v>
      </c>
      <c r="N219" t="s">
        <v>43</v>
      </c>
      <c r="O219" s="2">
        <v>600.25</v>
      </c>
      <c r="P219">
        <v>8</v>
      </c>
      <c r="Q219" s="3">
        <v>0</v>
      </c>
      <c r="R219" s="2">
        <v>-4.91</v>
      </c>
    </row>
    <row r="220" spans="1:18" x14ac:dyDescent="0.25">
      <c r="A220">
        <v>219</v>
      </c>
      <c r="B220" t="s">
        <v>363</v>
      </c>
      <c r="C220" s="5">
        <v>45970</v>
      </c>
      <c r="D220" s="5">
        <v>45974</v>
      </c>
      <c r="E220" t="s">
        <v>30</v>
      </c>
      <c r="F220" t="s">
        <v>118</v>
      </c>
      <c r="G220" t="s">
        <v>139</v>
      </c>
      <c r="H220" t="s">
        <v>22</v>
      </c>
      <c r="I220" t="s">
        <v>23</v>
      </c>
      <c r="J220" t="s">
        <v>161</v>
      </c>
      <c r="K220" t="s">
        <v>162</v>
      </c>
      <c r="L220" t="s">
        <v>62</v>
      </c>
      <c r="M220" t="s">
        <v>42</v>
      </c>
      <c r="N220" t="s">
        <v>43</v>
      </c>
      <c r="O220" s="2">
        <v>646.53</v>
      </c>
      <c r="P220">
        <v>8</v>
      </c>
      <c r="Q220" s="3">
        <v>0.15</v>
      </c>
      <c r="R220" s="2">
        <v>-40.159999999999997</v>
      </c>
    </row>
    <row r="221" spans="1:18" x14ac:dyDescent="0.25">
      <c r="A221">
        <v>220</v>
      </c>
      <c r="B221" t="s">
        <v>364</v>
      </c>
      <c r="C221" s="5">
        <v>45818</v>
      </c>
      <c r="D221" s="5">
        <v>45819</v>
      </c>
      <c r="E221" t="s">
        <v>45</v>
      </c>
      <c r="F221" t="s">
        <v>195</v>
      </c>
      <c r="G221" t="s">
        <v>21</v>
      </c>
      <c r="H221" t="s">
        <v>74</v>
      </c>
      <c r="I221" t="s">
        <v>23</v>
      </c>
      <c r="J221" t="s">
        <v>55</v>
      </c>
      <c r="K221" t="s">
        <v>34</v>
      </c>
      <c r="L221" t="s">
        <v>35</v>
      </c>
      <c r="M221" t="s">
        <v>50</v>
      </c>
      <c r="N221" t="s">
        <v>51</v>
      </c>
      <c r="O221" s="2">
        <v>345.82</v>
      </c>
      <c r="P221">
        <v>3</v>
      </c>
      <c r="Q221" s="3">
        <v>0.15</v>
      </c>
      <c r="R221" s="2">
        <v>4.66</v>
      </c>
    </row>
    <row r="222" spans="1:18" x14ac:dyDescent="0.25">
      <c r="A222">
        <v>221</v>
      </c>
      <c r="B222" t="s">
        <v>365</v>
      </c>
      <c r="C222" s="5">
        <v>45907</v>
      </c>
      <c r="D222" s="5">
        <v>45912</v>
      </c>
      <c r="E222" t="s">
        <v>65</v>
      </c>
      <c r="F222" t="s">
        <v>118</v>
      </c>
      <c r="G222" t="s">
        <v>81</v>
      </c>
      <c r="H222" t="s">
        <v>74</v>
      </c>
      <c r="I222" t="s">
        <v>23</v>
      </c>
      <c r="J222" t="s">
        <v>75</v>
      </c>
      <c r="K222" t="s">
        <v>41</v>
      </c>
      <c r="L222" t="s">
        <v>35</v>
      </c>
      <c r="M222" t="s">
        <v>27</v>
      </c>
      <c r="N222" t="s">
        <v>63</v>
      </c>
      <c r="O222" s="2">
        <v>891.56</v>
      </c>
      <c r="P222">
        <v>3</v>
      </c>
      <c r="Q222" s="3">
        <v>0</v>
      </c>
      <c r="R222" s="2">
        <v>9.01</v>
      </c>
    </row>
    <row r="223" spans="1:18" x14ac:dyDescent="0.25">
      <c r="A223">
        <v>222</v>
      </c>
      <c r="B223" t="s">
        <v>366</v>
      </c>
      <c r="C223" s="5">
        <v>45906</v>
      </c>
      <c r="D223" s="5">
        <v>45908</v>
      </c>
      <c r="E223" t="s">
        <v>65</v>
      </c>
      <c r="F223" t="s">
        <v>46</v>
      </c>
      <c r="G223" t="s">
        <v>135</v>
      </c>
      <c r="H223" t="s">
        <v>74</v>
      </c>
      <c r="I223" t="s">
        <v>23</v>
      </c>
      <c r="J223" t="s">
        <v>33</v>
      </c>
      <c r="K223" t="s">
        <v>34</v>
      </c>
      <c r="L223" t="s">
        <v>35</v>
      </c>
      <c r="M223" t="s">
        <v>50</v>
      </c>
      <c r="N223" t="s">
        <v>156</v>
      </c>
      <c r="O223" s="2">
        <v>919.68</v>
      </c>
      <c r="P223">
        <v>8</v>
      </c>
      <c r="Q223" s="3">
        <v>0.1</v>
      </c>
      <c r="R223" s="2">
        <v>114.63</v>
      </c>
    </row>
    <row r="224" spans="1:18" x14ac:dyDescent="0.25">
      <c r="A224">
        <v>223</v>
      </c>
      <c r="B224" t="s">
        <v>367</v>
      </c>
      <c r="C224" s="5">
        <v>45743</v>
      </c>
      <c r="D224" s="5">
        <v>45744</v>
      </c>
      <c r="E224" t="s">
        <v>45</v>
      </c>
      <c r="F224" t="s">
        <v>150</v>
      </c>
      <c r="G224" t="s">
        <v>77</v>
      </c>
      <c r="H224" t="s">
        <v>54</v>
      </c>
      <c r="I224" t="s">
        <v>23</v>
      </c>
      <c r="J224" t="s">
        <v>176</v>
      </c>
      <c r="K224" t="s">
        <v>162</v>
      </c>
      <c r="L224" t="s">
        <v>62</v>
      </c>
      <c r="M224" t="s">
        <v>42</v>
      </c>
      <c r="N224" t="s">
        <v>113</v>
      </c>
      <c r="O224" s="2">
        <v>539.91999999999996</v>
      </c>
      <c r="P224">
        <v>5</v>
      </c>
      <c r="Q224" s="3">
        <v>0</v>
      </c>
      <c r="R224" s="2">
        <v>47.6</v>
      </c>
    </row>
    <row r="225" spans="1:18" x14ac:dyDescent="0.25">
      <c r="A225">
        <v>224</v>
      </c>
      <c r="B225" t="s">
        <v>368</v>
      </c>
      <c r="C225" s="5">
        <v>45939</v>
      </c>
      <c r="D225" s="5">
        <v>45944</v>
      </c>
      <c r="E225" t="s">
        <v>19</v>
      </c>
      <c r="F225" t="s">
        <v>84</v>
      </c>
      <c r="G225" t="s">
        <v>88</v>
      </c>
      <c r="H225" t="s">
        <v>74</v>
      </c>
      <c r="I225" t="s">
        <v>23</v>
      </c>
      <c r="J225" t="s">
        <v>48</v>
      </c>
      <c r="K225" t="s">
        <v>49</v>
      </c>
      <c r="L225" t="s">
        <v>26</v>
      </c>
      <c r="M225" t="s">
        <v>27</v>
      </c>
      <c r="N225" t="s">
        <v>36</v>
      </c>
      <c r="O225" s="2">
        <v>496.84</v>
      </c>
      <c r="P225">
        <v>9</v>
      </c>
      <c r="Q225" s="3">
        <v>0.3</v>
      </c>
      <c r="R225" s="2">
        <v>100.27</v>
      </c>
    </row>
    <row r="226" spans="1:18" x14ac:dyDescent="0.25">
      <c r="A226">
        <v>225</v>
      </c>
      <c r="B226" t="s">
        <v>369</v>
      </c>
      <c r="C226" s="5">
        <v>45875</v>
      </c>
      <c r="D226" s="5">
        <v>45876</v>
      </c>
      <c r="E226" t="s">
        <v>65</v>
      </c>
      <c r="F226" t="s">
        <v>129</v>
      </c>
      <c r="G226" t="s">
        <v>32</v>
      </c>
      <c r="H226" t="s">
        <v>22</v>
      </c>
      <c r="I226" t="s">
        <v>23</v>
      </c>
      <c r="J226" t="s">
        <v>55</v>
      </c>
      <c r="K226" t="s">
        <v>34</v>
      </c>
      <c r="L226" t="s">
        <v>35</v>
      </c>
      <c r="M226" t="s">
        <v>50</v>
      </c>
      <c r="N226" t="s">
        <v>51</v>
      </c>
      <c r="O226" s="2">
        <v>820.52</v>
      </c>
      <c r="P226">
        <v>6</v>
      </c>
      <c r="Q226" s="3">
        <v>0.3</v>
      </c>
      <c r="R226" s="2">
        <v>115.57</v>
      </c>
    </row>
    <row r="227" spans="1:18" x14ac:dyDescent="0.25">
      <c r="A227">
        <v>226</v>
      </c>
      <c r="B227" t="s">
        <v>370</v>
      </c>
      <c r="C227" s="5">
        <v>45959</v>
      </c>
      <c r="D227" s="5">
        <v>45962</v>
      </c>
      <c r="E227" t="s">
        <v>45</v>
      </c>
      <c r="F227" t="s">
        <v>106</v>
      </c>
      <c r="G227" t="s">
        <v>139</v>
      </c>
      <c r="H227" t="s">
        <v>74</v>
      </c>
      <c r="I227" t="s">
        <v>23</v>
      </c>
      <c r="J227" t="s">
        <v>176</v>
      </c>
      <c r="K227" t="s">
        <v>162</v>
      </c>
      <c r="L227" t="s">
        <v>62</v>
      </c>
      <c r="M227" t="s">
        <v>27</v>
      </c>
      <c r="N227" t="s">
        <v>94</v>
      </c>
      <c r="O227" s="2">
        <v>315.45</v>
      </c>
      <c r="P227">
        <v>3</v>
      </c>
      <c r="Q227" s="3">
        <v>0.3</v>
      </c>
      <c r="R227" s="2">
        <v>-22.93</v>
      </c>
    </row>
    <row r="228" spans="1:18" x14ac:dyDescent="0.25">
      <c r="A228">
        <v>227</v>
      </c>
      <c r="B228" t="s">
        <v>371</v>
      </c>
      <c r="C228" s="5">
        <v>45963</v>
      </c>
      <c r="D228" s="5">
        <v>45968</v>
      </c>
      <c r="E228" t="s">
        <v>19</v>
      </c>
      <c r="F228" t="s">
        <v>72</v>
      </c>
      <c r="G228" t="s">
        <v>32</v>
      </c>
      <c r="H228" t="s">
        <v>74</v>
      </c>
      <c r="I228" t="s">
        <v>23</v>
      </c>
      <c r="J228" t="s">
        <v>75</v>
      </c>
      <c r="K228" t="s">
        <v>41</v>
      </c>
      <c r="L228" t="s">
        <v>35</v>
      </c>
      <c r="M228" t="s">
        <v>50</v>
      </c>
      <c r="N228" t="s">
        <v>99</v>
      </c>
      <c r="O228" s="2">
        <v>540.89</v>
      </c>
      <c r="P228">
        <v>10</v>
      </c>
      <c r="Q228" s="3">
        <v>0.05</v>
      </c>
      <c r="R228" s="2">
        <v>122.15</v>
      </c>
    </row>
    <row r="229" spans="1:18" x14ac:dyDescent="0.25">
      <c r="A229">
        <v>228</v>
      </c>
      <c r="B229" t="s">
        <v>372</v>
      </c>
      <c r="C229" s="5">
        <v>45799</v>
      </c>
      <c r="D229" s="5">
        <v>45801</v>
      </c>
      <c r="E229" t="s">
        <v>65</v>
      </c>
      <c r="F229" t="s">
        <v>178</v>
      </c>
      <c r="G229" t="s">
        <v>85</v>
      </c>
      <c r="H229" t="s">
        <v>54</v>
      </c>
      <c r="I229" t="s">
        <v>23</v>
      </c>
      <c r="J229" t="s">
        <v>40</v>
      </c>
      <c r="K229" t="s">
        <v>41</v>
      </c>
      <c r="L229" t="s">
        <v>35</v>
      </c>
      <c r="M229" t="s">
        <v>42</v>
      </c>
      <c r="N229" t="s">
        <v>113</v>
      </c>
      <c r="O229" s="2">
        <v>1286.28</v>
      </c>
      <c r="P229">
        <v>4</v>
      </c>
      <c r="Q229" s="3">
        <v>0.3</v>
      </c>
      <c r="R229" s="2">
        <v>193.26</v>
      </c>
    </row>
    <row r="230" spans="1:18" x14ac:dyDescent="0.25">
      <c r="A230">
        <v>229</v>
      </c>
      <c r="B230" t="s">
        <v>373</v>
      </c>
      <c r="C230" s="5">
        <v>45795</v>
      </c>
      <c r="D230" s="5">
        <v>45799</v>
      </c>
      <c r="E230" t="s">
        <v>30</v>
      </c>
      <c r="F230" t="s">
        <v>217</v>
      </c>
      <c r="G230" t="s">
        <v>67</v>
      </c>
      <c r="H230" t="s">
        <v>74</v>
      </c>
      <c r="I230" t="s">
        <v>23</v>
      </c>
      <c r="J230" t="s">
        <v>68</v>
      </c>
      <c r="K230" t="s">
        <v>69</v>
      </c>
      <c r="L230" t="s">
        <v>70</v>
      </c>
      <c r="M230" t="s">
        <v>50</v>
      </c>
      <c r="N230" t="s">
        <v>51</v>
      </c>
      <c r="O230" s="2">
        <v>1147.8599999999999</v>
      </c>
      <c r="P230">
        <v>2</v>
      </c>
      <c r="Q230" s="3">
        <v>0.1</v>
      </c>
      <c r="R230" s="2">
        <v>75.14</v>
      </c>
    </row>
    <row r="231" spans="1:18" x14ac:dyDescent="0.25">
      <c r="A231">
        <v>230</v>
      </c>
      <c r="B231" t="s">
        <v>374</v>
      </c>
      <c r="C231" s="5">
        <v>45907</v>
      </c>
      <c r="D231" s="5">
        <v>45910</v>
      </c>
      <c r="E231" t="s">
        <v>30</v>
      </c>
      <c r="F231" t="s">
        <v>210</v>
      </c>
      <c r="G231" t="s">
        <v>32</v>
      </c>
      <c r="H231" t="s">
        <v>54</v>
      </c>
      <c r="I231" t="s">
        <v>23</v>
      </c>
      <c r="J231" t="s">
        <v>176</v>
      </c>
      <c r="K231" t="s">
        <v>162</v>
      </c>
      <c r="L231" t="s">
        <v>62</v>
      </c>
      <c r="M231" t="s">
        <v>42</v>
      </c>
      <c r="N231" t="s">
        <v>91</v>
      </c>
      <c r="O231" s="2">
        <v>1321.06</v>
      </c>
      <c r="P231">
        <v>8</v>
      </c>
      <c r="Q231" s="3">
        <v>0.2</v>
      </c>
      <c r="R231" s="2">
        <v>135.34</v>
      </c>
    </row>
    <row r="232" spans="1:18" x14ac:dyDescent="0.25">
      <c r="A232">
        <v>231</v>
      </c>
      <c r="B232" t="s">
        <v>375</v>
      </c>
      <c r="C232" s="5">
        <v>45769</v>
      </c>
      <c r="D232" s="5">
        <v>45773</v>
      </c>
      <c r="E232" t="s">
        <v>45</v>
      </c>
      <c r="F232" t="s">
        <v>195</v>
      </c>
      <c r="G232" t="s">
        <v>135</v>
      </c>
      <c r="H232" t="s">
        <v>74</v>
      </c>
      <c r="I232" t="s">
        <v>23</v>
      </c>
      <c r="J232" t="s">
        <v>33</v>
      </c>
      <c r="K232" t="s">
        <v>34</v>
      </c>
      <c r="L232" t="s">
        <v>35</v>
      </c>
      <c r="M232" t="s">
        <v>50</v>
      </c>
      <c r="N232" t="s">
        <v>136</v>
      </c>
      <c r="O232" s="2">
        <v>594.70000000000005</v>
      </c>
      <c r="P232">
        <v>5</v>
      </c>
      <c r="Q232" s="3">
        <v>0.05</v>
      </c>
      <c r="R232" s="2">
        <v>49.99</v>
      </c>
    </row>
    <row r="233" spans="1:18" x14ac:dyDescent="0.25">
      <c r="A233">
        <v>232</v>
      </c>
      <c r="B233" t="s">
        <v>376</v>
      </c>
      <c r="C233" s="5">
        <v>46007</v>
      </c>
      <c r="D233" s="5">
        <v>46008</v>
      </c>
      <c r="E233" t="s">
        <v>65</v>
      </c>
      <c r="F233" t="s">
        <v>115</v>
      </c>
      <c r="G233" t="s">
        <v>88</v>
      </c>
      <c r="H233" t="s">
        <v>22</v>
      </c>
      <c r="I233" t="s">
        <v>23</v>
      </c>
      <c r="J233" t="s">
        <v>168</v>
      </c>
      <c r="K233" t="s">
        <v>25</v>
      </c>
      <c r="L233" t="s">
        <v>26</v>
      </c>
      <c r="M233" t="s">
        <v>42</v>
      </c>
      <c r="N233" t="s">
        <v>56</v>
      </c>
      <c r="O233" s="2">
        <v>48.98</v>
      </c>
      <c r="P233">
        <v>3</v>
      </c>
      <c r="Q233" s="3">
        <v>0.1</v>
      </c>
      <c r="R233" s="2">
        <v>2.19</v>
      </c>
    </row>
    <row r="234" spans="1:18" x14ac:dyDescent="0.25">
      <c r="A234">
        <v>233</v>
      </c>
      <c r="B234" t="s">
        <v>377</v>
      </c>
      <c r="C234" s="5">
        <v>45812</v>
      </c>
      <c r="D234" s="5">
        <v>45814</v>
      </c>
      <c r="E234" t="s">
        <v>45</v>
      </c>
      <c r="F234" t="s">
        <v>106</v>
      </c>
      <c r="G234" t="s">
        <v>21</v>
      </c>
      <c r="H234" t="s">
        <v>54</v>
      </c>
      <c r="I234" t="s">
        <v>23</v>
      </c>
      <c r="J234" t="s">
        <v>179</v>
      </c>
      <c r="K234" t="s">
        <v>98</v>
      </c>
      <c r="L234" t="s">
        <v>70</v>
      </c>
      <c r="M234" t="s">
        <v>42</v>
      </c>
      <c r="N234" t="s">
        <v>43</v>
      </c>
      <c r="O234" s="2">
        <v>465.69</v>
      </c>
      <c r="P234">
        <v>6</v>
      </c>
      <c r="Q234" s="3">
        <v>0.2</v>
      </c>
      <c r="R234" s="2">
        <v>86.77</v>
      </c>
    </row>
    <row r="235" spans="1:18" x14ac:dyDescent="0.25">
      <c r="A235">
        <v>234</v>
      </c>
      <c r="B235" t="s">
        <v>378</v>
      </c>
      <c r="C235" s="5">
        <v>46016</v>
      </c>
      <c r="D235" s="5">
        <v>46018</v>
      </c>
      <c r="E235" t="s">
        <v>45</v>
      </c>
      <c r="F235" t="s">
        <v>20</v>
      </c>
      <c r="G235" t="s">
        <v>104</v>
      </c>
      <c r="H235" t="s">
        <v>54</v>
      </c>
      <c r="I235" t="s">
        <v>23</v>
      </c>
      <c r="J235" t="s">
        <v>68</v>
      </c>
      <c r="K235" t="s">
        <v>69</v>
      </c>
      <c r="L235" t="s">
        <v>70</v>
      </c>
      <c r="M235" t="s">
        <v>27</v>
      </c>
      <c r="N235" t="s">
        <v>36</v>
      </c>
      <c r="O235" s="2">
        <v>1272.58</v>
      </c>
      <c r="P235">
        <v>1</v>
      </c>
      <c r="Q235" s="3">
        <v>0</v>
      </c>
      <c r="R235" s="2">
        <v>85.11</v>
      </c>
    </row>
    <row r="236" spans="1:18" x14ac:dyDescent="0.25">
      <c r="A236">
        <v>235</v>
      </c>
      <c r="B236" t="s">
        <v>379</v>
      </c>
      <c r="C236" s="5">
        <v>45662</v>
      </c>
      <c r="D236" s="5">
        <v>45663</v>
      </c>
      <c r="E236" t="s">
        <v>19</v>
      </c>
      <c r="F236" t="s">
        <v>164</v>
      </c>
      <c r="G236" t="s">
        <v>32</v>
      </c>
      <c r="H236" t="s">
        <v>22</v>
      </c>
      <c r="I236" t="s">
        <v>23</v>
      </c>
      <c r="J236" t="s">
        <v>120</v>
      </c>
      <c r="K236" t="s">
        <v>108</v>
      </c>
      <c r="L236" t="s">
        <v>70</v>
      </c>
      <c r="M236" t="s">
        <v>42</v>
      </c>
      <c r="N236" t="s">
        <v>56</v>
      </c>
      <c r="O236" s="2">
        <v>1255.3800000000001</v>
      </c>
      <c r="P236">
        <v>8</v>
      </c>
      <c r="Q236" s="3">
        <v>0</v>
      </c>
      <c r="R236" s="2">
        <v>-24.94</v>
      </c>
    </row>
    <row r="237" spans="1:18" x14ac:dyDescent="0.25">
      <c r="A237">
        <v>236</v>
      </c>
      <c r="B237" t="s">
        <v>380</v>
      </c>
      <c r="C237" s="5">
        <v>45818</v>
      </c>
      <c r="D237" s="5">
        <v>45821</v>
      </c>
      <c r="E237" t="s">
        <v>45</v>
      </c>
      <c r="F237" t="s">
        <v>210</v>
      </c>
      <c r="G237" t="s">
        <v>73</v>
      </c>
      <c r="H237" t="s">
        <v>54</v>
      </c>
      <c r="I237" t="s">
        <v>23</v>
      </c>
      <c r="J237" t="s">
        <v>97</v>
      </c>
      <c r="K237" t="s">
        <v>98</v>
      </c>
      <c r="L237" t="s">
        <v>70</v>
      </c>
      <c r="M237" t="s">
        <v>42</v>
      </c>
      <c r="N237" t="s">
        <v>56</v>
      </c>
      <c r="O237" s="2">
        <v>1396.76</v>
      </c>
      <c r="P237">
        <v>3</v>
      </c>
      <c r="Q237" s="3">
        <v>0.2</v>
      </c>
      <c r="R237" s="2">
        <v>303.83999999999997</v>
      </c>
    </row>
    <row r="238" spans="1:18" x14ac:dyDescent="0.25">
      <c r="A238">
        <v>237</v>
      </c>
      <c r="B238" t="s">
        <v>381</v>
      </c>
      <c r="C238" s="5">
        <v>45970</v>
      </c>
      <c r="D238" s="5">
        <v>45972</v>
      </c>
      <c r="E238" t="s">
        <v>65</v>
      </c>
      <c r="F238" t="s">
        <v>93</v>
      </c>
      <c r="G238" t="s">
        <v>47</v>
      </c>
      <c r="H238" t="s">
        <v>22</v>
      </c>
      <c r="I238" t="s">
        <v>23</v>
      </c>
      <c r="J238" t="s">
        <v>89</v>
      </c>
      <c r="K238" t="s">
        <v>90</v>
      </c>
      <c r="L238" t="s">
        <v>62</v>
      </c>
      <c r="M238" t="s">
        <v>50</v>
      </c>
      <c r="N238" t="s">
        <v>99</v>
      </c>
      <c r="O238" s="2">
        <v>399.24</v>
      </c>
      <c r="P238">
        <v>3</v>
      </c>
      <c r="Q238" s="3">
        <v>0.1</v>
      </c>
      <c r="R238" s="2">
        <v>40.17</v>
      </c>
    </row>
    <row r="239" spans="1:18" x14ac:dyDescent="0.25">
      <c r="A239">
        <v>238</v>
      </c>
      <c r="B239" t="s">
        <v>382</v>
      </c>
      <c r="C239" s="5">
        <v>45721</v>
      </c>
      <c r="D239" s="5">
        <v>45726</v>
      </c>
      <c r="E239" t="s">
        <v>19</v>
      </c>
      <c r="F239" t="s">
        <v>230</v>
      </c>
      <c r="G239" t="s">
        <v>73</v>
      </c>
      <c r="H239" t="s">
        <v>54</v>
      </c>
      <c r="I239" t="s">
        <v>23</v>
      </c>
      <c r="J239" t="s">
        <v>68</v>
      </c>
      <c r="K239" t="s">
        <v>69</v>
      </c>
      <c r="L239" t="s">
        <v>70</v>
      </c>
      <c r="M239" t="s">
        <v>50</v>
      </c>
      <c r="N239" t="s">
        <v>109</v>
      </c>
      <c r="O239" s="2">
        <v>579.82000000000005</v>
      </c>
      <c r="P239">
        <v>3</v>
      </c>
      <c r="Q239" s="3">
        <v>0</v>
      </c>
      <c r="R239" s="2">
        <v>-1.78</v>
      </c>
    </row>
    <row r="240" spans="1:18" x14ac:dyDescent="0.25">
      <c r="A240">
        <v>239</v>
      </c>
      <c r="B240" t="s">
        <v>383</v>
      </c>
      <c r="C240" s="5">
        <v>46011</v>
      </c>
      <c r="D240" s="5">
        <v>46012</v>
      </c>
      <c r="E240" t="s">
        <v>45</v>
      </c>
      <c r="F240" t="s">
        <v>178</v>
      </c>
      <c r="G240" t="s">
        <v>21</v>
      </c>
      <c r="H240" t="s">
        <v>22</v>
      </c>
      <c r="I240" t="s">
        <v>23</v>
      </c>
      <c r="J240" t="s">
        <v>97</v>
      </c>
      <c r="K240" t="s">
        <v>98</v>
      </c>
      <c r="L240" t="s">
        <v>70</v>
      </c>
      <c r="M240" t="s">
        <v>42</v>
      </c>
      <c r="N240" t="s">
        <v>113</v>
      </c>
      <c r="O240" s="2">
        <v>1351.16</v>
      </c>
      <c r="P240">
        <v>5</v>
      </c>
      <c r="Q240" s="3">
        <v>0.2</v>
      </c>
      <c r="R240" s="2">
        <v>-149.84</v>
      </c>
    </row>
    <row r="241" spans="1:18" x14ac:dyDescent="0.25">
      <c r="A241">
        <v>240</v>
      </c>
      <c r="B241" t="s">
        <v>384</v>
      </c>
      <c r="C241" s="5">
        <v>45913</v>
      </c>
      <c r="D241" s="5">
        <v>45918</v>
      </c>
      <c r="E241" t="s">
        <v>65</v>
      </c>
      <c r="F241" t="s">
        <v>141</v>
      </c>
      <c r="G241" t="s">
        <v>73</v>
      </c>
      <c r="H241" t="s">
        <v>54</v>
      </c>
      <c r="I241" t="s">
        <v>23</v>
      </c>
      <c r="J241" t="s">
        <v>48</v>
      </c>
      <c r="K241" t="s">
        <v>49</v>
      </c>
      <c r="L241" t="s">
        <v>26</v>
      </c>
      <c r="M241" t="s">
        <v>27</v>
      </c>
      <c r="N241" t="s">
        <v>36</v>
      </c>
      <c r="O241" s="2">
        <v>1776.65</v>
      </c>
      <c r="P241">
        <v>6</v>
      </c>
      <c r="Q241" s="3">
        <v>0</v>
      </c>
      <c r="R241" s="2">
        <v>62.88</v>
      </c>
    </row>
    <row r="242" spans="1:18" x14ac:dyDescent="0.25">
      <c r="A242">
        <v>241</v>
      </c>
      <c r="B242" t="s">
        <v>385</v>
      </c>
      <c r="C242" s="5">
        <v>45899</v>
      </c>
      <c r="D242" s="5">
        <v>45900</v>
      </c>
      <c r="E242" t="s">
        <v>65</v>
      </c>
      <c r="F242" t="s">
        <v>208</v>
      </c>
      <c r="G242" t="s">
        <v>39</v>
      </c>
      <c r="H242" t="s">
        <v>54</v>
      </c>
      <c r="I242" t="s">
        <v>23</v>
      </c>
      <c r="J242" t="s">
        <v>168</v>
      </c>
      <c r="K242" t="s">
        <v>25</v>
      </c>
      <c r="L242" t="s">
        <v>26</v>
      </c>
      <c r="M242" t="s">
        <v>27</v>
      </c>
      <c r="N242" t="s">
        <v>36</v>
      </c>
      <c r="O242" s="2">
        <v>44.55</v>
      </c>
      <c r="P242">
        <v>4</v>
      </c>
      <c r="Q242" s="3">
        <v>0</v>
      </c>
      <c r="R242" s="2">
        <v>9.93</v>
      </c>
    </row>
    <row r="243" spans="1:18" x14ac:dyDescent="0.25">
      <c r="A243">
        <v>242</v>
      </c>
      <c r="B243" t="s">
        <v>386</v>
      </c>
      <c r="C243" s="5">
        <v>45914</v>
      </c>
      <c r="D243" s="5">
        <v>45918</v>
      </c>
      <c r="E243" t="s">
        <v>30</v>
      </c>
      <c r="F243" t="s">
        <v>87</v>
      </c>
      <c r="G243" t="s">
        <v>39</v>
      </c>
      <c r="H243" t="s">
        <v>22</v>
      </c>
      <c r="I243" t="s">
        <v>23</v>
      </c>
      <c r="J243" t="s">
        <v>239</v>
      </c>
      <c r="K243" t="s">
        <v>69</v>
      </c>
      <c r="L243" t="s">
        <v>70</v>
      </c>
      <c r="M243" t="s">
        <v>27</v>
      </c>
      <c r="N243" t="s">
        <v>94</v>
      </c>
      <c r="O243" s="2">
        <v>166.72</v>
      </c>
      <c r="P243">
        <v>9</v>
      </c>
      <c r="Q243" s="3">
        <v>0.15</v>
      </c>
      <c r="R243" s="2">
        <v>15.52</v>
      </c>
    </row>
    <row r="244" spans="1:18" x14ac:dyDescent="0.25">
      <c r="A244">
        <v>243</v>
      </c>
      <c r="B244" t="s">
        <v>387</v>
      </c>
      <c r="C244" s="5">
        <v>45737</v>
      </c>
      <c r="D244" s="5">
        <v>45742</v>
      </c>
      <c r="E244" t="s">
        <v>45</v>
      </c>
      <c r="F244" t="s">
        <v>106</v>
      </c>
      <c r="G244" t="s">
        <v>104</v>
      </c>
      <c r="H244" t="s">
        <v>22</v>
      </c>
      <c r="I244" t="s">
        <v>23</v>
      </c>
      <c r="J244" t="s">
        <v>107</v>
      </c>
      <c r="K244" t="s">
        <v>108</v>
      </c>
      <c r="L244" t="s">
        <v>70</v>
      </c>
      <c r="M244" t="s">
        <v>50</v>
      </c>
      <c r="N244" t="s">
        <v>156</v>
      </c>
      <c r="O244" s="2">
        <v>1149.04</v>
      </c>
      <c r="P244">
        <v>2</v>
      </c>
      <c r="Q244" s="3">
        <v>0.05</v>
      </c>
      <c r="R244" s="2">
        <v>157.46</v>
      </c>
    </row>
    <row r="245" spans="1:18" x14ac:dyDescent="0.25">
      <c r="A245">
        <v>244</v>
      </c>
      <c r="B245" t="s">
        <v>388</v>
      </c>
      <c r="C245" s="5">
        <v>45717</v>
      </c>
      <c r="D245" s="5">
        <v>45721</v>
      </c>
      <c r="E245" t="s">
        <v>45</v>
      </c>
      <c r="F245" t="s">
        <v>217</v>
      </c>
      <c r="G245" t="s">
        <v>81</v>
      </c>
      <c r="H245" t="s">
        <v>22</v>
      </c>
      <c r="I245" t="s">
        <v>23</v>
      </c>
      <c r="J245" t="s">
        <v>176</v>
      </c>
      <c r="K245" t="s">
        <v>162</v>
      </c>
      <c r="L245" t="s">
        <v>62</v>
      </c>
      <c r="M245" t="s">
        <v>27</v>
      </c>
      <c r="N245" t="s">
        <v>36</v>
      </c>
      <c r="O245" s="2">
        <v>570.54</v>
      </c>
      <c r="P245">
        <v>3</v>
      </c>
      <c r="Q245" s="3">
        <v>0</v>
      </c>
      <c r="R245" s="2">
        <v>-54.52</v>
      </c>
    </row>
    <row r="246" spans="1:18" x14ac:dyDescent="0.25">
      <c r="A246">
        <v>245</v>
      </c>
      <c r="B246" t="s">
        <v>389</v>
      </c>
      <c r="C246" s="5">
        <v>45835</v>
      </c>
      <c r="D246" s="5">
        <v>45840</v>
      </c>
      <c r="E246" t="s">
        <v>30</v>
      </c>
      <c r="F246" t="s">
        <v>164</v>
      </c>
      <c r="G246" t="s">
        <v>67</v>
      </c>
      <c r="H246" t="s">
        <v>22</v>
      </c>
      <c r="I246" t="s">
        <v>23</v>
      </c>
      <c r="J246" t="s">
        <v>60</v>
      </c>
      <c r="K246" t="s">
        <v>61</v>
      </c>
      <c r="L246" t="s">
        <v>62</v>
      </c>
      <c r="M246" t="s">
        <v>27</v>
      </c>
      <c r="N246" t="s">
        <v>28</v>
      </c>
      <c r="O246" s="2">
        <v>317.19</v>
      </c>
      <c r="P246">
        <v>3</v>
      </c>
      <c r="Q246" s="3">
        <v>0.2</v>
      </c>
      <c r="R246" s="2">
        <v>45.48</v>
      </c>
    </row>
    <row r="247" spans="1:18" x14ac:dyDescent="0.25">
      <c r="A247">
        <v>246</v>
      </c>
      <c r="B247" t="s">
        <v>390</v>
      </c>
      <c r="C247" s="5">
        <v>45829</v>
      </c>
      <c r="D247" s="5">
        <v>45833</v>
      </c>
      <c r="E247" t="s">
        <v>65</v>
      </c>
      <c r="F247" t="s">
        <v>208</v>
      </c>
      <c r="G247" t="s">
        <v>59</v>
      </c>
      <c r="H247" t="s">
        <v>22</v>
      </c>
      <c r="I247" t="s">
        <v>23</v>
      </c>
      <c r="J247" t="s">
        <v>179</v>
      </c>
      <c r="K247" t="s">
        <v>98</v>
      </c>
      <c r="L247" t="s">
        <v>70</v>
      </c>
      <c r="M247" t="s">
        <v>27</v>
      </c>
      <c r="N247" t="s">
        <v>36</v>
      </c>
      <c r="O247" s="2">
        <v>488.05</v>
      </c>
      <c r="P247">
        <v>10</v>
      </c>
      <c r="Q247" s="3">
        <v>0.2</v>
      </c>
      <c r="R247" s="2">
        <v>-50.28</v>
      </c>
    </row>
    <row r="248" spans="1:18" x14ac:dyDescent="0.25">
      <c r="A248">
        <v>247</v>
      </c>
      <c r="B248" t="s">
        <v>391</v>
      </c>
      <c r="C248" s="5">
        <v>45948</v>
      </c>
      <c r="D248" s="5">
        <v>45950</v>
      </c>
      <c r="E248" t="s">
        <v>45</v>
      </c>
      <c r="F248" t="s">
        <v>124</v>
      </c>
      <c r="G248" t="s">
        <v>73</v>
      </c>
      <c r="H248" t="s">
        <v>22</v>
      </c>
      <c r="I248" t="s">
        <v>23</v>
      </c>
      <c r="J248" t="s">
        <v>120</v>
      </c>
      <c r="K248" t="s">
        <v>108</v>
      </c>
      <c r="L248" t="s">
        <v>70</v>
      </c>
      <c r="M248" t="s">
        <v>42</v>
      </c>
      <c r="N248" t="s">
        <v>43</v>
      </c>
      <c r="O248" s="2">
        <v>1396.53</v>
      </c>
      <c r="P248">
        <v>10</v>
      </c>
      <c r="Q248" s="3">
        <v>0.2</v>
      </c>
      <c r="R248" s="2">
        <v>171.73</v>
      </c>
    </row>
    <row r="249" spans="1:18" x14ac:dyDescent="0.25">
      <c r="A249">
        <v>248</v>
      </c>
      <c r="B249" t="s">
        <v>392</v>
      </c>
      <c r="C249" s="5">
        <v>45664</v>
      </c>
      <c r="D249" s="5">
        <v>45666</v>
      </c>
      <c r="E249" t="s">
        <v>19</v>
      </c>
      <c r="F249" t="s">
        <v>143</v>
      </c>
      <c r="G249" t="s">
        <v>32</v>
      </c>
      <c r="H249" t="s">
        <v>54</v>
      </c>
      <c r="I249" t="s">
        <v>23</v>
      </c>
      <c r="J249" t="s">
        <v>168</v>
      </c>
      <c r="K249" t="s">
        <v>25</v>
      </c>
      <c r="L249" t="s">
        <v>26</v>
      </c>
      <c r="M249" t="s">
        <v>50</v>
      </c>
      <c r="N249" t="s">
        <v>136</v>
      </c>
      <c r="O249" s="2">
        <v>701.7</v>
      </c>
      <c r="P249">
        <v>3</v>
      </c>
      <c r="Q249" s="3">
        <v>0</v>
      </c>
      <c r="R249" s="2">
        <v>158.52000000000001</v>
      </c>
    </row>
    <row r="250" spans="1:18" x14ac:dyDescent="0.25">
      <c r="A250">
        <v>249</v>
      </c>
      <c r="B250" t="s">
        <v>393</v>
      </c>
      <c r="C250" s="5">
        <v>45993</v>
      </c>
      <c r="D250" s="5">
        <v>45997</v>
      </c>
      <c r="E250" t="s">
        <v>30</v>
      </c>
      <c r="F250" t="s">
        <v>129</v>
      </c>
      <c r="G250" t="s">
        <v>73</v>
      </c>
      <c r="H250" t="s">
        <v>54</v>
      </c>
      <c r="I250" t="s">
        <v>23</v>
      </c>
      <c r="J250" t="s">
        <v>55</v>
      </c>
      <c r="K250" t="s">
        <v>34</v>
      </c>
      <c r="L250" t="s">
        <v>35</v>
      </c>
      <c r="M250" t="s">
        <v>50</v>
      </c>
      <c r="N250" t="s">
        <v>151</v>
      </c>
      <c r="O250" s="2">
        <v>760.94</v>
      </c>
      <c r="P250">
        <v>6</v>
      </c>
      <c r="Q250" s="3">
        <v>0.05</v>
      </c>
      <c r="R250" s="2">
        <v>138.19</v>
      </c>
    </row>
    <row r="251" spans="1:18" x14ac:dyDescent="0.25">
      <c r="A251">
        <v>250</v>
      </c>
      <c r="B251" t="s">
        <v>394</v>
      </c>
      <c r="C251" s="5">
        <v>45749</v>
      </c>
      <c r="D251" s="5">
        <v>45751</v>
      </c>
      <c r="E251" t="s">
        <v>30</v>
      </c>
      <c r="F251" t="s">
        <v>183</v>
      </c>
      <c r="G251" t="s">
        <v>47</v>
      </c>
      <c r="H251" t="s">
        <v>54</v>
      </c>
      <c r="I251" t="s">
        <v>23</v>
      </c>
      <c r="J251" t="s">
        <v>155</v>
      </c>
      <c r="K251" t="s">
        <v>61</v>
      </c>
      <c r="L251" t="s">
        <v>62</v>
      </c>
      <c r="M251" t="s">
        <v>42</v>
      </c>
      <c r="N251" t="s">
        <v>56</v>
      </c>
      <c r="O251" s="2">
        <v>142.69</v>
      </c>
      <c r="P251">
        <v>8</v>
      </c>
      <c r="Q251" s="3">
        <v>0.3</v>
      </c>
      <c r="R251" s="2">
        <v>-6.59</v>
      </c>
    </row>
    <row r="252" spans="1:18" x14ac:dyDescent="0.25">
      <c r="A252">
        <v>251</v>
      </c>
      <c r="B252" t="s">
        <v>395</v>
      </c>
      <c r="C252" s="5">
        <v>45662</v>
      </c>
      <c r="D252" s="5">
        <v>45665</v>
      </c>
      <c r="E252" t="s">
        <v>65</v>
      </c>
      <c r="F252" t="s">
        <v>150</v>
      </c>
      <c r="G252" t="s">
        <v>32</v>
      </c>
      <c r="H252" t="s">
        <v>22</v>
      </c>
      <c r="I252" t="s">
        <v>23</v>
      </c>
      <c r="J252" t="s">
        <v>55</v>
      </c>
      <c r="K252" t="s">
        <v>34</v>
      </c>
      <c r="L252" t="s">
        <v>35</v>
      </c>
      <c r="M252" t="s">
        <v>50</v>
      </c>
      <c r="N252" t="s">
        <v>156</v>
      </c>
      <c r="O252" s="2">
        <v>1416.42</v>
      </c>
      <c r="P252">
        <v>10</v>
      </c>
      <c r="Q252" s="3">
        <v>0</v>
      </c>
      <c r="R252" s="2">
        <v>88.35</v>
      </c>
    </row>
    <row r="253" spans="1:18" x14ac:dyDescent="0.25">
      <c r="A253">
        <v>252</v>
      </c>
      <c r="B253" t="s">
        <v>396</v>
      </c>
      <c r="C253" s="5">
        <v>45735</v>
      </c>
      <c r="D253" s="5">
        <v>45736</v>
      </c>
      <c r="E253" t="s">
        <v>65</v>
      </c>
      <c r="F253" t="s">
        <v>124</v>
      </c>
      <c r="G253" t="s">
        <v>88</v>
      </c>
      <c r="H253" t="s">
        <v>74</v>
      </c>
      <c r="I253" t="s">
        <v>23</v>
      </c>
      <c r="J253" t="s">
        <v>239</v>
      </c>
      <c r="K253" t="s">
        <v>69</v>
      </c>
      <c r="L253" t="s">
        <v>70</v>
      </c>
      <c r="M253" t="s">
        <v>42</v>
      </c>
      <c r="N253" t="s">
        <v>113</v>
      </c>
      <c r="O253" s="2">
        <v>983.95</v>
      </c>
      <c r="P253">
        <v>1</v>
      </c>
      <c r="Q253" s="3">
        <v>0.05</v>
      </c>
      <c r="R253" s="2">
        <v>-105.27</v>
      </c>
    </row>
    <row r="254" spans="1:18" x14ac:dyDescent="0.25">
      <c r="A254">
        <v>253</v>
      </c>
      <c r="B254" t="s">
        <v>397</v>
      </c>
      <c r="C254" s="5">
        <v>45763</v>
      </c>
      <c r="D254" s="5">
        <v>45768</v>
      </c>
      <c r="E254" t="s">
        <v>19</v>
      </c>
      <c r="F254" t="s">
        <v>96</v>
      </c>
      <c r="G254" t="s">
        <v>67</v>
      </c>
      <c r="H254" t="s">
        <v>54</v>
      </c>
      <c r="I254" t="s">
        <v>23</v>
      </c>
      <c r="J254" t="s">
        <v>33</v>
      </c>
      <c r="K254" t="s">
        <v>34</v>
      </c>
      <c r="L254" t="s">
        <v>35</v>
      </c>
      <c r="M254" t="s">
        <v>50</v>
      </c>
      <c r="N254" t="s">
        <v>109</v>
      </c>
      <c r="O254" s="2">
        <v>1730.91</v>
      </c>
      <c r="P254">
        <v>3</v>
      </c>
      <c r="Q254" s="3">
        <v>0.2</v>
      </c>
      <c r="R254" s="2">
        <v>-55.49</v>
      </c>
    </row>
    <row r="255" spans="1:18" x14ac:dyDescent="0.25">
      <c r="A255">
        <v>254</v>
      </c>
      <c r="B255" t="s">
        <v>398</v>
      </c>
      <c r="C255" s="5">
        <v>46016</v>
      </c>
      <c r="D255" s="5">
        <v>46019</v>
      </c>
      <c r="E255" t="s">
        <v>65</v>
      </c>
      <c r="F255" t="s">
        <v>210</v>
      </c>
      <c r="G255" t="s">
        <v>139</v>
      </c>
      <c r="H255" t="s">
        <v>54</v>
      </c>
      <c r="I255" t="s">
        <v>23</v>
      </c>
      <c r="J255" t="s">
        <v>89</v>
      </c>
      <c r="K255" t="s">
        <v>90</v>
      </c>
      <c r="L255" t="s">
        <v>62</v>
      </c>
      <c r="M255" t="s">
        <v>27</v>
      </c>
      <c r="N255" t="s">
        <v>36</v>
      </c>
      <c r="O255" s="2">
        <v>1053.77</v>
      </c>
      <c r="P255">
        <v>9</v>
      </c>
      <c r="Q255" s="3">
        <v>0</v>
      </c>
      <c r="R255" s="2">
        <v>129.63999999999999</v>
      </c>
    </row>
    <row r="256" spans="1:18" x14ac:dyDescent="0.25">
      <c r="A256">
        <v>255</v>
      </c>
      <c r="B256" t="s">
        <v>399</v>
      </c>
      <c r="C256" s="5">
        <v>45880</v>
      </c>
      <c r="D256" s="5">
        <v>45882</v>
      </c>
      <c r="E256" t="s">
        <v>30</v>
      </c>
      <c r="F256" t="s">
        <v>183</v>
      </c>
      <c r="G256" t="s">
        <v>77</v>
      </c>
      <c r="H256" t="s">
        <v>74</v>
      </c>
      <c r="I256" t="s">
        <v>23</v>
      </c>
      <c r="J256" t="s">
        <v>55</v>
      </c>
      <c r="K256" t="s">
        <v>34</v>
      </c>
      <c r="L256" t="s">
        <v>35</v>
      </c>
      <c r="M256" t="s">
        <v>50</v>
      </c>
      <c r="N256" t="s">
        <v>136</v>
      </c>
      <c r="O256" s="2">
        <v>1534.63</v>
      </c>
      <c r="P256">
        <v>7</v>
      </c>
      <c r="Q256" s="3">
        <v>0.2</v>
      </c>
      <c r="R256" s="2">
        <v>247.33</v>
      </c>
    </row>
    <row r="257" spans="1:18" x14ac:dyDescent="0.25">
      <c r="A257">
        <v>256</v>
      </c>
      <c r="B257" t="s">
        <v>400</v>
      </c>
      <c r="C257" s="5">
        <v>45696</v>
      </c>
      <c r="D257" s="5">
        <v>45698</v>
      </c>
      <c r="E257" t="s">
        <v>65</v>
      </c>
      <c r="F257" t="s">
        <v>129</v>
      </c>
      <c r="G257" t="s">
        <v>73</v>
      </c>
      <c r="H257" t="s">
        <v>74</v>
      </c>
      <c r="I257" t="s">
        <v>23</v>
      </c>
      <c r="J257" t="s">
        <v>75</v>
      </c>
      <c r="K257" t="s">
        <v>41</v>
      </c>
      <c r="L257" t="s">
        <v>35</v>
      </c>
      <c r="M257" t="s">
        <v>27</v>
      </c>
      <c r="N257" t="s">
        <v>36</v>
      </c>
      <c r="O257" s="2">
        <v>296.63</v>
      </c>
      <c r="P257">
        <v>3</v>
      </c>
      <c r="Q257" s="3">
        <v>0.1</v>
      </c>
      <c r="R257" s="2">
        <v>14.27</v>
      </c>
    </row>
    <row r="258" spans="1:18" x14ac:dyDescent="0.25">
      <c r="A258">
        <v>257</v>
      </c>
      <c r="B258" t="s">
        <v>401</v>
      </c>
      <c r="C258" s="5">
        <v>45889</v>
      </c>
      <c r="D258" s="5">
        <v>45892</v>
      </c>
      <c r="E258" t="s">
        <v>19</v>
      </c>
      <c r="F258" t="s">
        <v>93</v>
      </c>
      <c r="G258" t="s">
        <v>135</v>
      </c>
      <c r="H258" t="s">
        <v>74</v>
      </c>
      <c r="I258" t="s">
        <v>23</v>
      </c>
      <c r="J258" t="s">
        <v>89</v>
      </c>
      <c r="K258" t="s">
        <v>90</v>
      </c>
      <c r="L258" t="s">
        <v>62</v>
      </c>
      <c r="M258" t="s">
        <v>50</v>
      </c>
      <c r="N258" t="s">
        <v>51</v>
      </c>
      <c r="O258" s="2">
        <v>180.95</v>
      </c>
      <c r="P258">
        <v>5</v>
      </c>
      <c r="Q258" s="3">
        <v>0.3</v>
      </c>
      <c r="R258" s="2">
        <v>18.39</v>
      </c>
    </row>
    <row r="259" spans="1:18" x14ac:dyDescent="0.25">
      <c r="A259">
        <v>258</v>
      </c>
      <c r="B259" t="s">
        <v>402</v>
      </c>
      <c r="C259" s="5">
        <v>45704</v>
      </c>
      <c r="D259" s="5">
        <v>45706</v>
      </c>
      <c r="E259" t="s">
        <v>45</v>
      </c>
      <c r="F259" t="s">
        <v>233</v>
      </c>
      <c r="G259" t="s">
        <v>21</v>
      </c>
      <c r="H259" t="s">
        <v>74</v>
      </c>
      <c r="I259" t="s">
        <v>23</v>
      </c>
      <c r="J259" t="s">
        <v>120</v>
      </c>
      <c r="K259" t="s">
        <v>108</v>
      </c>
      <c r="L259" t="s">
        <v>70</v>
      </c>
      <c r="M259" t="s">
        <v>50</v>
      </c>
      <c r="N259" t="s">
        <v>156</v>
      </c>
      <c r="O259" s="2">
        <v>107.13</v>
      </c>
      <c r="P259">
        <v>5</v>
      </c>
      <c r="Q259" s="3">
        <v>0.05</v>
      </c>
      <c r="R259" s="2">
        <v>19.23</v>
      </c>
    </row>
    <row r="260" spans="1:18" x14ac:dyDescent="0.25">
      <c r="A260">
        <v>259</v>
      </c>
      <c r="B260" t="s">
        <v>403</v>
      </c>
      <c r="C260" s="5">
        <v>45706</v>
      </c>
      <c r="D260" s="5">
        <v>45710</v>
      </c>
      <c r="E260" t="s">
        <v>65</v>
      </c>
      <c r="F260" t="s">
        <v>141</v>
      </c>
      <c r="G260" t="s">
        <v>127</v>
      </c>
      <c r="H260" t="s">
        <v>54</v>
      </c>
      <c r="I260" t="s">
        <v>23</v>
      </c>
      <c r="J260" t="s">
        <v>48</v>
      </c>
      <c r="K260" t="s">
        <v>49</v>
      </c>
      <c r="L260" t="s">
        <v>26</v>
      </c>
      <c r="M260" t="s">
        <v>42</v>
      </c>
      <c r="N260" t="s">
        <v>91</v>
      </c>
      <c r="O260" s="2">
        <v>41.28</v>
      </c>
      <c r="P260">
        <v>4</v>
      </c>
      <c r="Q260" s="3">
        <v>0</v>
      </c>
      <c r="R260" s="2">
        <v>-1.27</v>
      </c>
    </row>
    <row r="261" spans="1:18" x14ac:dyDescent="0.25">
      <c r="A261">
        <v>260</v>
      </c>
      <c r="B261" t="s">
        <v>404</v>
      </c>
      <c r="C261" s="5">
        <v>45956</v>
      </c>
      <c r="D261" s="5">
        <v>45961</v>
      </c>
      <c r="E261" t="s">
        <v>45</v>
      </c>
      <c r="F261" t="s">
        <v>87</v>
      </c>
      <c r="G261" t="s">
        <v>67</v>
      </c>
      <c r="H261" t="s">
        <v>74</v>
      </c>
      <c r="I261" t="s">
        <v>23</v>
      </c>
      <c r="J261" t="s">
        <v>97</v>
      </c>
      <c r="K261" t="s">
        <v>98</v>
      </c>
      <c r="L261" t="s">
        <v>70</v>
      </c>
      <c r="M261" t="s">
        <v>42</v>
      </c>
      <c r="N261" t="s">
        <v>91</v>
      </c>
      <c r="O261" s="2">
        <v>1794.95</v>
      </c>
      <c r="P261">
        <v>4</v>
      </c>
      <c r="Q261" s="3">
        <v>0.2</v>
      </c>
      <c r="R261" s="2">
        <v>45.23</v>
      </c>
    </row>
    <row r="262" spans="1:18" x14ac:dyDescent="0.25">
      <c r="A262">
        <v>261</v>
      </c>
      <c r="B262" t="s">
        <v>405</v>
      </c>
      <c r="C262" s="5">
        <v>45679</v>
      </c>
      <c r="D262" s="5">
        <v>45683</v>
      </c>
      <c r="E262" t="s">
        <v>65</v>
      </c>
      <c r="F262" t="s">
        <v>271</v>
      </c>
      <c r="G262" t="s">
        <v>59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42</v>
      </c>
      <c r="N262" t="s">
        <v>56</v>
      </c>
      <c r="O262" s="2">
        <v>1482.6</v>
      </c>
      <c r="P262">
        <v>7</v>
      </c>
      <c r="Q262" s="3">
        <v>0.1</v>
      </c>
      <c r="R262" s="2">
        <v>-155.19999999999999</v>
      </c>
    </row>
    <row r="263" spans="1:18" x14ac:dyDescent="0.25">
      <c r="A263">
        <v>262</v>
      </c>
      <c r="B263" t="s">
        <v>406</v>
      </c>
      <c r="C263" s="5">
        <v>45798</v>
      </c>
      <c r="D263" s="5">
        <v>45801</v>
      </c>
      <c r="E263" t="s">
        <v>65</v>
      </c>
      <c r="F263" t="s">
        <v>103</v>
      </c>
      <c r="G263" t="s">
        <v>67</v>
      </c>
      <c r="H263" t="s">
        <v>54</v>
      </c>
      <c r="I263" t="s">
        <v>23</v>
      </c>
      <c r="J263" t="s">
        <v>147</v>
      </c>
      <c r="K263" t="s">
        <v>90</v>
      </c>
      <c r="L263" t="s">
        <v>62</v>
      </c>
      <c r="M263" t="s">
        <v>42</v>
      </c>
      <c r="N263" t="s">
        <v>91</v>
      </c>
      <c r="O263" s="2">
        <v>1113.1099999999999</v>
      </c>
      <c r="P263">
        <v>10</v>
      </c>
      <c r="Q263" s="3">
        <v>0</v>
      </c>
      <c r="R263" s="2">
        <v>140.86000000000001</v>
      </c>
    </row>
    <row r="264" spans="1:18" x14ac:dyDescent="0.25">
      <c r="A264">
        <v>263</v>
      </c>
      <c r="B264" t="s">
        <v>407</v>
      </c>
      <c r="C264" s="5">
        <v>45689</v>
      </c>
      <c r="D264" s="5">
        <v>45690</v>
      </c>
      <c r="E264" t="s">
        <v>19</v>
      </c>
      <c r="F264" t="s">
        <v>203</v>
      </c>
      <c r="G264" t="s">
        <v>32</v>
      </c>
      <c r="H264" t="s">
        <v>54</v>
      </c>
      <c r="I264" t="s">
        <v>23</v>
      </c>
      <c r="J264" t="s">
        <v>179</v>
      </c>
      <c r="K264" t="s">
        <v>98</v>
      </c>
      <c r="L264" t="s">
        <v>70</v>
      </c>
      <c r="M264" t="s">
        <v>50</v>
      </c>
      <c r="N264" t="s">
        <v>151</v>
      </c>
      <c r="O264" s="2">
        <v>766.24</v>
      </c>
      <c r="P264">
        <v>9</v>
      </c>
      <c r="Q264" s="3">
        <v>0</v>
      </c>
      <c r="R264" s="2">
        <v>92.53</v>
      </c>
    </row>
    <row r="265" spans="1:18" x14ac:dyDescent="0.25">
      <c r="A265">
        <v>264</v>
      </c>
      <c r="B265" t="s">
        <v>408</v>
      </c>
      <c r="C265" s="5">
        <v>45903</v>
      </c>
      <c r="D265" s="5">
        <v>45908</v>
      </c>
      <c r="E265" t="s">
        <v>30</v>
      </c>
      <c r="F265" t="s">
        <v>38</v>
      </c>
      <c r="G265" t="s">
        <v>104</v>
      </c>
      <c r="H265" t="s">
        <v>22</v>
      </c>
      <c r="I265" t="s">
        <v>23</v>
      </c>
      <c r="J265" t="s">
        <v>147</v>
      </c>
      <c r="K265" t="s">
        <v>90</v>
      </c>
      <c r="L265" t="s">
        <v>62</v>
      </c>
      <c r="M265" t="s">
        <v>50</v>
      </c>
      <c r="N265" t="s">
        <v>156</v>
      </c>
      <c r="O265" s="2">
        <v>914.26</v>
      </c>
      <c r="P265">
        <v>7</v>
      </c>
      <c r="Q265" s="3">
        <v>0.05</v>
      </c>
      <c r="R265" s="2">
        <v>-40.74</v>
      </c>
    </row>
    <row r="266" spans="1:18" x14ac:dyDescent="0.25">
      <c r="A266">
        <v>265</v>
      </c>
      <c r="B266" t="s">
        <v>409</v>
      </c>
      <c r="C266" s="5">
        <v>45687</v>
      </c>
      <c r="D266" s="5">
        <v>45691</v>
      </c>
      <c r="E266" t="s">
        <v>45</v>
      </c>
      <c r="F266" t="s">
        <v>227</v>
      </c>
      <c r="G266" t="s">
        <v>73</v>
      </c>
      <c r="H266" t="s">
        <v>54</v>
      </c>
      <c r="I266" t="s">
        <v>23</v>
      </c>
      <c r="J266" t="s">
        <v>60</v>
      </c>
      <c r="K266" t="s">
        <v>61</v>
      </c>
      <c r="L266" t="s">
        <v>62</v>
      </c>
      <c r="M266" t="s">
        <v>50</v>
      </c>
      <c r="N266" t="s">
        <v>156</v>
      </c>
      <c r="O266" s="2">
        <v>1799.3</v>
      </c>
      <c r="P266">
        <v>3</v>
      </c>
      <c r="Q266" s="3">
        <v>0</v>
      </c>
      <c r="R266" s="2">
        <v>-23.84</v>
      </c>
    </row>
    <row r="267" spans="1:18" x14ac:dyDescent="0.25">
      <c r="A267">
        <v>266</v>
      </c>
      <c r="B267" t="s">
        <v>410</v>
      </c>
      <c r="C267" s="5">
        <v>45770</v>
      </c>
      <c r="D267" s="5">
        <v>45775</v>
      </c>
      <c r="E267" t="s">
        <v>30</v>
      </c>
      <c r="F267" t="s">
        <v>20</v>
      </c>
      <c r="G267" t="s">
        <v>81</v>
      </c>
      <c r="H267" t="s">
        <v>54</v>
      </c>
      <c r="I267" t="s">
        <v>23</v>
      </c>
      <c r="J267" t="s">
        <v>68</v>
      </c>
      <c r="K267" t="s">
        <v>69</v>
      </c>
      <c r="L267" t="s">
        <v>70</v>
      </c>
      <c r="M267" t="s">
        <v>50</v>
      </c>
      <c r="N267" t="s">
        <v>151</v>
      </c>
      <c r="O267" s="2">
        <v>333.46</v>
      </c>
      <c r="P267">
        <v>10</v>
      </c>
      <c r="Q267" s="3">
        <v>0.05</v>
      </c>
      <c r="R267" s="2">
        <v>58.25</v>
      </c>
    </row>
    <row r="268" spans="1:18" x14ac:dyDescent="0.25">
      <c r="A268">
        <v>267</v>
      </c>
      <c r="B268" t="s">
        <v>411</v>
      </c>
      <c r="C268" s="5">
        <v>45948</v>
      </c>
      <c r="D268" s="5">
        <v>45953</v>
      </c>
      <c r="E268" t="s">
        <v>65</v>
      </c>
      <c r="F268" t="s">
        <v>281</v>
      </c>
      <c r="G268" t="s">
        <v>47</v>
      </c>
      <c r="H268" t="s">
        <v>22</v>
      </c>
      <c r="I268" t="s">
        <v>23</v>
      </c>
      <c r="J268" t="s">
        <v>75</v>
      </c>
      <c r="K268" t="s">
        <v>41</v>
      </c>
      <c r="L268" t="s">
        <v>35</v>
      </c>
      <c r="M268" t="s">
        <v>27</v>
      </c>
      <c r="N268" t="s">
        <v>63</v>
      </c>
      <c r="O268" s="2">
        <v>1509.32</v>
      </c>
      <c r="P268">
        <v>8</v>
      </c>
      <c r="Q268" s="3">
        <v>0.15</v>
      </c>
      <c r="R268" s="2">
        <v>-21.63</v>
      </c>
    </row>
    <row r="269" spans="1:18" x14ac:dyDescent="0.25">
      <c r="A269">
        <v>268</v>
      </c>
      <c r="B269" t="s">
        <v>412</v>
      </c>
      <c r="C269" s="5">
        <v>45966</v>
      </c>
      <c r="D269" s="5">
        <v>45968</v>
      </c>
      <c r="E269" t="s">
        <v>30</v>
      </c>
      <c r="F269" t="s">
        <v>46</v>
      </c>
      <c r="G269" t="s">
        <v>85</v>
      </c>
      <c r="H269" t="s">
        <v>74</v>
      </c>
      <c r="I269" t="s">
        <v>23</v>
      </c>
      <c r="J269" t="s">
        <v>24</v>
      </c>
      <c r="K269" t="s">
        <v>25</v>
      </c>
      <c r="L269" t="s">
        <v>26</v>
      </c>
      <c r="M269" t="s">
        <v>27</v>
      </c>
      <c r="N269" t="s">
        <v>94</v>
      </c>
      <c r="O269" s="2">
        <v>21.22</v>
      </c>
      <c r="P269">
        <v>10</v>
      </c>
      <c r="Q269" s="3">
        <v>0</v>
      </c>
      <c r="R269" s="2">
        <v>3.87</v>
      </c>
    </row>
    <row r="270" spans="1:18" x14ac:dyDescent="0.25">
      <c r="A270">
        <v>269</v>
      </c>
      <c r="B270" t="s">
        <v>413</v>
      </c>
      <c r="C270" s="5">
        <v>45669</v>
      </c>
      <c r="D270" s="5">
        <v>45671</v>
      </c>
      <c r="E270" t="s">
        <v>19</v>
      </c>
      <c r="F270" t="s">
        <v>141</v>
      </c>
      <c r="G270" t="s">
        <v>88</v>
      </c>
      <c r="H270" t="s">
        <v>54</v>
      </c>
      <c r="I270" t="s">
        <v>23</v>
      </c>
      <c r="J270" t="s">
        <v>176</v>
      </c>
      <c r="K270" t="s">
        <v>162</v>
      </c>
      <c r="L270" t="s">
        <v>62</v>
      </c>
      <c r="M270" t="s">
        <v>27</v>
      </c>
      <c r="N270" t="s">
        <v>63</v>
      </c>
      <c r="O270" s="2">
        <v>1398.37</v>
      </c>
      <c r="P270">
        <v>9</v>
      </c>
      <c r="Q270" s="3">
        <v>0.3</v>
      </c>
      <c r="R270" s="2">
        <v>-24.18</v>
      </c>
    </row>
    <row r="271" spans="1:18" x14ac:dyDescent="0.25">
      <c r="A271">
        <v>270</v>
      </c>
      <c r="B271" t="s">
        <v>414</v>
      </c>
      <c r="C271" s="5">
        <v>45958</v>
      </c>
      <c r="D271" s="5">
        <v>45959</v>
      </c>
      <c r="E271" t="s">
        <v>65</v>
      </c>
      <c r="F271" t="s">
        <v>274</v>
      </c>
      <c r="G271" t="s">
        <v>59</v>
      </c>
      <c r="H271" t="s">
        <v>22</v>
      </c>
      <c r="I271" t="s">
        <v>23</v>
      </c>
      <c r="J271" t="s">
        <v>107</v>
      </c>
      <c r="K271" t="s">
        <v>108</v>
      </c>
      <c r="L271" t="s">
        <v>70</v>
      </c>
      <c r="M271" t="s">
        <v>50</v>
      </c>
      <c r="N271" t="s">
        <v>136</v>
      </c>
      <c r="O271" s="2">
        <v>262.88</v>
      </c>
      <c r="P271">
        <v>3</v>
      </c>
      <c r="Q271" s="3">
        <v>0.2</v>
      </c>
      <c r="R271" s="2">
        <v>53.11</v>
      </c>
    </row>
    <row r="272" spans="1:18" x14ac:dyDescent="0.25">
      <c r="A272">
        <v>271</v>
      </c>
      <c r="B272" t="s">
        <v>415</v>
      </c>
      <c r="C272" s="5">
        <v>45772</v>
      </c>
      <c r="D272" s="5">
        <v>45777</v>
      </c>
      <c r="E272" t="s">
        <v>19</v>
      </c>
      <c r="F272" t="s">
        <v>217</v>
      </c>
      <c r="G272" t="s">
        <v>139</v>
      </c>
      <c r="H272" t="s">
        <v>74</v>
      </c>
      <c r="I272" t="s">
        <v>23</v>
      </c>
      <c r="J272" t="s">
        <v>40</v>
      </c>
      <c r="K272" t="s">
        <v>41</v>
      </c>
      <c r="L272" t="s">
        <v>35</v>
      </c>
      <c r="M272" t="s">
        <v>50</v>
      </c>
      <c r="N272" t="s">
        <v>136</v>
      </c>
      <c r="O272" s="2">
        <v>1326.51</v>
      </c>
      <c r="P272">
        <v>5</v>
      </c>
      <c r="Q272" s="3">
        <v>0</v>
      </c>
      <c r="R272" s="2">
        <v>-50.14</v>
      </c>
    </row>
    <row r="273" spans="1:18" x14ac:dyDescent="0.25">
      <c r="A273">
        <v>272</v>
      </c>
      <c r="B273" t="s">
        <v>416</v>
      </c>
      <c r="C273" s="5">
        <v>45674</v>
      </c>
      <c r="D273" s="5">
        <v>45676</v>
      </c>
      <c r="E273" t="s">
        <v>45</v>
      </c>
      <c r="F273" t="s">
        <v>101</v>
      </c>
      <c r="G273" t="s">
        <v>88</v>
      </c>
      <c r="H273" t="s">
        <v>22</v>
      </c>
      <c r="I273" t="s">
        <v>23</v>
      </c>
      <c r="J273" t="s">
        <v>161</v>
      </c>
      <c r="K273" t="s">
        <v>162</v>
      </c>
      <c r="L273" t="s">
        <v>62</v>
      </c>
      <c r="M273" t="s">
        <v>50</v>
      </c>
      <c r="N273" t="s">
        <v>156</v>
      </c>
      <c r="O273" s="2">
        <v>413.19</v>
      </c>
      <c r="P273">
        <v>10</v>
      </c>
      <c r="Q273" s="3">
        <v>0</v>
      </c>
      <c r="R273" s="2">
        <v>94.14</v>
      </c>
    </row>
    <row r="274" spans="1:18" x14ac:dyDescent="0.25">
      <c r="A274">
        <v>273</v>
      </c>
      <c r="B274" t="s">
        <v>417</v>
      </c>
      <c r="C274" s="5">
        <v>45835</v>
      </c>
      <c r="D274" s="5">
        <v>45838</v>
      </c>
      <c r="E274" t="s">
        <v>45</v>
      </c>
      <c r="F274" t="s">
        <v>230</v>
      </c>
      <c r="G274" t="s">
        <v>88</v>
      </c>
      <c r="H274" t="s">
        <v>22</v>
      </c>
      <c r="I274" t="s">
        <v>23</v>
      </c>
      <c r="J274" t="s">
        <v>78</v>
      </c>
      <c r="K274" t="s">
        <v>41</v>
      </c>
      <c r="L274" t="s">
        <v>35</v>
      </c>
      <c r="M274" t="s">
        <v>27</v>
      </c>
      <c r="N274" t="s">
        <v>36</v>
      </c>
      <c r="O274" s="2">
        <v>1482.56</v>
      </c>
      <c r="P274">
        <v>6</v>
      </c>
      <c r="Q274" s="3">
        <v>0.1</v>
      </c>
      <c r="R274" s="2">
        <v>-164.58</v>
      </c>
    </row>
    <row r="275" spans="1:18" x14ac:dyDescent="0.25">
      <c r="A275">
        <v>274</v>
      </c>
      <c r="B275" t="s">
        <v>418</v>
      </c>
      <c r="C275" s="5">
        <v>45789</v>
      </c>
      <c r="D275" s="5">
        <v>45790</v>
      </c>
      <c r="E275" t="s">
        <v>65</v>
      </c>
      <c r="F275" t="s">
        <v>203</v>
      </c>
      <c r="G275" t="s">
        <v>59</v>
      </c>
      <c r="H275" t="s">
        <v>54</v>
      </c>
      <c r="I275" t="s">
        <v>23</v>
      </c>
      <c r="J275" t="s">
        <v>125</v>
      </c>
      <c r="K275" t="s">
        <v>25</v>
      </c>
      <c r="L275" t="s">
        <v>26</v>
      </c>
      <c r="M275" t="s">
        <v>42</v>
      </c>
      <c r="N275" t="s">
        <v>56</v>
      </c>
      <c r="O275" s="2">
        <v>800.03</v>
      </c>
      <c r="P275">
        <v>7</v>
      </c>
      <c r="Q275" s="3">
        <v>0</v>
      </c>
      <c r="R275" s="2">
        <v>167.68</v>
      </c>
    </row>
    <row r="276" spans="1:18" x14ac:dyDescent="0.25">
      <c r="A276">
        <v>275</v>
      </c>
      <c r="B276" t="s">
        <v>419</v>
      </c>
      <c r="C276" s="5">
        <v>45709</v>
      </c>
      <c r="D276" s="5">
        <v>45713</v>
      </c>
      <c r="E276" t="s">
        <v>30</v>
      </c>
      <c r="F276" t="s">
        <v>233</v>
      </c>
      <c r="G276" t="s">
        <v>59</v>
      </c>
      <c r="H276" t="s">
        <v>74</v>
      </c>
      <c r="I276" t="s">
        <v>23</v>
      </c>
      <c r="J276" t="s">
        <v>161</v>
      </c>
      <c r="K276" t="s">
        <v>162</v>
      </c>
      <c r="L276" t="s">
        <v>62</v>
      </c>
      <c r="M276" t="s">
        <v>27</v>
      </c>
      <c r="N276" t="s">
        <v>63</v>
      </c>
      <c r="O276" s="2">
        <v>309.52999999999997</v>
      </c>
      <c r="P276">
        <v>2</v>
      </c>
      <c r="Q276" s="3">
        <v>0.3</v>
      </c>
      <c r="R276" s="2">
        <v>46.74</v>
      </c>
    </row>
    <row r="277" spans="1:18" x14ac:dyDescent="0.25">
      <c r="A277">
        <v>276</v>
      </c>
      <c r="B277" t="s">
        <v>420</v>
      </c>
      <c r="C277" s="5">
        <v>45695</v>
      </c>
      <c r="D277" s="5">
        <v>45698</v>
      </c>
      <c r="E277" t="s">
        <v>65</v>
      </c>
      <c r="F277" t="s">
        <v>46</v>
      </c>
      <c r="G277" t="s">
        <v>81</v>
      </c>
      <c r="H277" t="s">
        <v>74</v>
      </c>
      <c r="I277" t="s">
        <v>23</v>
      </c>
      <c r="J277" t="s">
        <v>40</v>
      </c>
      <c r="K277" t="s">
        <v>41</v>
      </c>
      <c r="L277" t="s">
        <v>35</v>
      </c>
      <c r="M277" t="s">
        <v>50</v>
      </c>
      <c r="N277" t="s">
        <v>151</v>
      </c>
      <c r="O277" s="2">
        <v>1322.93</v>
      </c>
      <c r="P277">
        <v>9</v>
      </c>
      <c r="Q277" s="3">
        <v>0</v>
      </c>
      <c r="R277" s="2">
        <v>24.19</v>
      </c>
    </row>
    <row r="278" spans="1:18" x14ac:dyDescent="0.25">
      <c r="A278">
        <v>277</v>
      </c>
      <c r="B278" t="s">
        <v>421</v>
      </c>
      <c r="C278" s="5">
        <v>45742</v>
      </c>
      <c r="D278" s="5">
        <v>45747</v>
      </c>
      <c r="E278" t="s">
        <v>30</v>
      </c>
      <c r="F278" t="s">
        <v>53</v>
      </c>
      <c r="G278" t="s">
        <v>39</v>
      </c>
      <c r="H278" t="s">
        <v>74</v>
      </c>
      <c r="I278" t="s">
        <v>23</v>
      </c>
      <c r="J278" t="s">
        <v>239</v>
      </c>
      <c r="K278" t="s">
        <v>69</v>
      </c>
      <c r="L278" t="s">
        <v>70</v>
      </c>
      <c r="M278" t="s">
        <v>42</v>
      </c>
      <c r="N278" t="s">
        <v>91</v>
      </c>
      <c r="O278" s="2">
        <v>200.24</v>
      </c>
      <c r="P278">
        <v>4</v>
      </c>
      <c r="Q278" s="3">
        <v>0</v>
      </c>
      <c r="R278" s="2">
        <v>8.66</v>
      </c>
    </row>
    <row r="279" spans="1:18" x14ac:dyDescent="0.25">
      <c r="A279">
        <v>278</v>
      </c>
      <c r="B279" t="s">
        <v>422</v>
      </c>
      <c r="C279" s="5">
        <v>45707</v>
      </c>
      <c r="D279" s="5">
        <v>45708</v>
      </c>
      <c r="E279" t="s">
        <v>30</v>
      </c>
      <c r="F279" t="s">
        <v>53</v>
      </c>
      <c r="G279" t="s">
        <v>127</v>
      </c>
      <c r="H279" t="s">
        <v>54</v>
      </c>
      <c r="I279" t="s">
        <v>23</v>
      </c>
      <c r="J279" t="s">
        <v>68</v>
      </c>
      <c r="K279" t="s">
        <v>69</v>
      </c>
      <c r="L279" t="s">
        <v>70</v>
      </c>
      <c r="M279" t="s">
        <v>27</v>
      </c>
      <c r="N279" t="s">
        <v>94</v>
      </c>
      <c r="O279" s="2">
        <v>293.39</v>
      </c>
      <c r="P279">
        <v>6</v>
      </c>
      <c r="Q279" s="3">
        <v>0</v>
      </c>
      <c r="R279" s="2">
        <v>14.57</v>
      </c>
    </row>
    <row r="280" spans="1:18" x14ac:dyDescent="0.25">
      <c r="A280">
        <v>279</v>
      </c>
      <c r="B280" t="s">
        <v>423</v>
      </c>
      <c r="C280" s="5">
        <v>45760</v>
      </c>
      <c r="D280" s="5">
        <v>45761</v>
      </c>
      <c r="E280" t="s">
        <v>30</v>
      </c>
      <c r="F280" t="s">
        <v>145</v>
      </c>
      <c r="G280" t="s">
        <v>21</v>
      </c>
      <c r="H280" t="s">
        <v>74</v>
      </c>
      <c r="I280" t="s">
        <v>23</v>
      </c>
      <c r="J280" t="s">
        <v>125</v>
      </c>
      <c r="K280" t="s">
        <v>25</v>
      </c>
      <c r="L280" t="s">
        <v>26</v>
      </c>
      <c r="M280" t="s">
        <v>42</v>
      </c>
      <c r="N280" t="s">
        <v>113</v>
      </c>
      <c r="O280" s="2">
        <v>1155.98</v>
      </c>
      <c r="P280">
        <v>2</v>
      </c>
      <c r="Q280" s="3">
        <v>0.1</v>
      </c>
      <c r="R280" s="2">
        <v>208.45</v>
      </c>
    </row>
    <row r="281" spans="1:18" x14ac:dyDescent="0.25">
      <c r="A281">
        <v>280</v>
      </c>
      <c r="B281" t="s">
        <v>424</v>
      </c>
      <c r="C281" s="5">
        <v>45996</v>
      </c>
      <c r="D281" s="5">
        <v>45999</v>
      </c>
      <c r="E281" t="s">
        <v>19</v>
      </c>
      <c r="F281" t="s">
        <v>154</v>
      </c>
      <c r="G281" t="s">
        <v>77</v>
      </c>
      <c r="H281" t="s">
        <v>74</v>
      </c>
      <c r="I281" t="s">
        <v>23</v>
      </c>
      <c r="J281" t="s">
        <v>82</v>
      </c>
      <c r="K281" t="s">
        <v>49</v>
      </c>
      <c r="L281" t="s">
        <v>26</v>
      </c>
      <c r="M281" t="s">
        <v>27</v>
      </c>
      <c r="N281" t="s">
        <v>94</v>
      </c>
      <c r="O281" s="2">
        <v>349.09</v>
      </c>
      <c r="P281">
        <v>7</v>
      </c>
      <c r="Q281" s="3">
        <v>0.05</v>
      </c>
      <c r="R281" s="2">
        <v>-14.73</v>
      </c>
    </row>
    <row r="282" spans="1:18" x14ac:dyDescent="0.25">
      <c r="A282">
        <v>281</v>
      </c>
      <c r="B282" t="s">
        <v>425</v>
      </c>
      <c r="C282" s="5">
        <v>45773</v>
      </c>
      <c r="D282" s="5">
        <v>45776</v>
      </c>
      <c r="E282" t="s">
        <v>65</v>
      </c>
      <c r="F282" t="s">
        <v>84</v>
      </c>
      <c r="G282" t="s">
        <v>139</v>
      </c>
      <c r="H282" t="s">
        <v>22</v>
      </c>
      <c r="I282" t="s">
        <v>23</v>
      </c>
      <c r="J282" t="s">
        <v>161</v>
      </c>
      <c r="K282" t="s">
        <v>162</v>
      </c>
      <c r="L282" t="s">
        <v>62</v>
      </c>
      <c r="M282" t="s">
        <v>42</v>
      </c>
      <c r="N282" t="s">
        <v>113</v>
      </c>
      <c r="O282" s="2">
        <v>1358.98</v>
      </c>
      <c r="P282">
        <v>2</v>
      </c>
      <c r="Q282" s="3">
        <v>0</v>
      </c>
      <c r="R282" s="2">
        <v>181.9</v>
      </c>
    </row>
    <row r="283" spans="1:18" x14ac:dyDescent="0.25">
      <c r="A283">
        <v>282</v>
      </c>
      <c r="B283" t="s">
        <v>426</v>
      </c>
      <c r="C283" s="5">
        <v>45856</v>
      </c>
      <c r="D283" s="5">
        <v>45861</v>
      </c>
      <c r="E283" t="s">
        <v>65</v>
      </c>
      <c r="F283" t="s">
        <v>46</v>
      </c>
      <c r="G283" t="s">
        <v>81</v>
      </c>
      <c r="H283" t="s">
        <v>54</v>
      </c>
      <c r="I283" t="s">
        <v>23</v>
      </c>
      <c r="J283" t="s">
        <v>239</v>
      </c>
      <c r="K283" t="s">
        <v>69</v>
      </c>
      <c r="L283" t="s">
        <v>70</v>
      </c>
      <c r="M283" t="s">
        <v>27</v>
      </c>
      <c r="N283" t="s">
        <v>94</v>
      </c>
      <c r="O283" s="2">
        <v>1039.43</v>
      </c>
      <c r="P283">
        <v>4</v>
      </c>
      <c r="Q283" s="3">
        <v>0.1</v>
      </c>
      <c r="R283" s="2">
        <v>-10.81</v>
      </c>
    </row>
    <row r="284" spans="1:18" x14ac:dyDescent="0.25">
      <c r="A284">
        <v>283</v>
      </c>
      <c r="B284" t="s">
        <v>427</v>
      </c>
      <c r="C284" s="5">
        <v>45719</v>
      </c>
      <c r="D284" s="5">
        <v>45723</v>
      </c>
      <c r="E284" t="s">
        <v>65</v>
      </c>
      <c r="F284" t="s">
        <v>115</v>
      </c>
      <c r="G284" t="s">
        <v>135</v>
      </c>
      <c r="H284" t="s">
        <v>54</v>
      </c>
      <c r="I284" t="s">
        <v>23</v>
      </c>
      <c r="J284" t="s">
        <v>75</v>
      </c>
      <c r="K284" t="s">
        <v>41</v>
      </c>
      <c r="L284" t="s">
        <v>35</v>
      </c>
      <c r="M284" t="s">
        <v>42</v>
      </c>
      <c r="N284" t="s">
        <v>113</v>
      </c>
      <c r="O284" s="2">
        <v>1459.06</v>
      </c>
      <c r="P284">
        <v>3</v>
      </c>
      <c r="Q284" s="3">
        <v>0</v>
      </c>
      <c r="R284" s="2">
        <v>70.3</v>
      </c>
    </row>
    <row r="285" spans="1:18" x14ac:dyDescent="0.25">
      <c r="A285">
        <v>284</v>
      </c>
      <c r="B285" t="s">
        <v>428</v>
      </c>
      <c r="C285" s="5">
        <v>45962</v>
      </c>
      <c r="D285" s="5">
        <v>45965</v>
      </c>
      <c r="E285" t="s">
        <v>30</v>
      </c>
      <c r="F285" t="s">
        <v>199</v>
      </c>
      <c r="G285" t="s">
        <v>77</v>
      </c>
      <c r="H285" t="s">
        <v>22</v>
      </c>
      <c r="I285" t="s">
        <v>23</v>
      </c>
      <c r="J285" t="s">
        <v>107</v>
      </c>
      <c r="K285" t="s">
        <v>108</v>
      </c>
      <c r="L285" t="s">
        <v>70</v>
      </c>
      <c r="M285" t="s">
        <v>27</v>
      </c>
      <c r="N285" t="s">
        <v>36</v>
      </c>
      <c r="O285" s="2">
        <v>174.91</v>
      </c>
      <c r="P285">
        <v>9</v>
      </c>
      <c r="Q285" s="3">
        <v>0.1</v>
      </c>
      <c r="R285" s="2">
        <v>13.68</v>
      </c>
    </row>
    <row r="286" spans="1:18" x14ac:dyDescent="0.25">
      <c r="A286">
        <v>285</v>
      </c>
      <c r="B286" t="s">
        <v>429</v>
      </c>
      <c r="C286" s="5">
        <v>45715</v>
      </c>
      <c r="D286" s="5">
        <v>45719</v>
      </c>
      <c r="E286" t="s">
        <v>30</v>
      </c>
      <c r="F286" t="s">
        <v>158</v>
      </c>
      <c r="G286" t="s">
        <v>67</v>
      </c>
      <c r="H286" t="s">
        <v>74</v>
      </c>
      <c r="I286" t="s">
        <v>23</v>
      </c>
      <c r="J286" t="s">
        <v>78</v>
      </c>
      <c r="K286" t="s">
        <v>41</v>
      </c>
      <c r="L286" t="s">
        <v>35</v>
      </c>
      <c r="M286" t="s">
        <v>42</v>
      </c>
      <c r="N286" t="s">
        <v>91</v>
      </c>
      <c r="O286" s="2">
        <v>1666.37</v>
      </c>
      <c r="P286">
        <v>10</v>
      </c>
      <c r="Q286" s="3">
        <v>0.3</v>
      </c>
      <c r="R286" s="2">
        <v>-182.72</v>
      </c>
    </row>
    <row r="287" spans="1:18" x14ac:dyDescent="0.25">
      <c r="A287">
        <v>286</v>
      </c>
      <c r="B287" t="s">
        <v>430</v>
      </c>
      <c r="C287" s="5">
        <v>45793</v>
      </c>
      <c r="D287" s="5">
        <v>45797</v>
      </c>
      <c r="E287" t="s">
        <v>65</v>
      </c>
      <c r="F287" t="s">
        <v>281</v>
      </c>
      <c r="G287" t="s">
        <v>21</v>
      </c>
      <c r="H287" t="s">
        <v>74</v>
      </c>
      <c r="I287" t="s">
        <v>23</v>
      </c>
      <c r="J287" t="s">
        <v>89</v>
      </c>
      <c r="K287" t="s">
        <v>90</v>
      </c>
      <c r="L287" t="s">
        <v>62</v>
      </c>
      <c r="M287" t="s">
        <v>27</v>
      </c>
      <c r="N287" t="s">
        <v>94</v>
      </c>
      <c r="O287" s="2">
        <v>86.69</v>
      </c>
      <c r="P287">
        <v>5</v>
      </c>
      <c r="Q287" s="3">
        <v>0.1</v>
      </c>
      <c r="R287" s="2">
        <v>-5.6</v>
      </c>
    </row>
    <row r="288" spans="1:18" x14ac:dyDescent="0.25">
      <c r="A288">
        <v>287</v>
      </c>
      <c r="B288" t="s">
        <v>431</v>
      </c>
      <c r="C288" s="5">
        <v>45683</v>
      </c>
      <c r="D288" s="5">
        <v>45687</v>
      </c>
      <c r="E288" t="s">
        <v>65</v>
      </c>
      <c r="F288" t="s">
        <v>217</v>
      </c>
      <c r="G288" t="s">
        <v>127</v>
      </c>
      <c r="H288" t="s">
        <v>22</v>
      </c>
      <c r="I288" t="s">
        <v>23</v>
      </c>
      <c r="J288" t="s">
        <v>97</v>
      </c>
      <c r="K288" t="s">
        <v>98</v>
      </c>
      <c r="L288" t="s">
        <v>70</v>
      </c>
      <c r="M288" t="s">
        <v>50</v>
      </c>
      <c r="N288" t="s">
        <v>51</v>
      </c>
      <c r="O288" s="2">
        <v>621.4</v>
      </c>
      <c r="P288">
        <v>5</v>
      </c>
      <c r="Q288" s="3">
        <v>0.05</v>
      </c>
      <c r="R288" s="2">
        <v>-5.83</v>
      </c>
    </row>
    <row r="289" spans="1:18" x14ac:dyDescent="0.25">
      <c r="A289">
        <v>288</v>
      </c>
      <c r="B289" t="s">
        <v>432</v>
      </c>
      <c r="C289" s="5">
        <v>45726</v>
      </c>
      <c r="D289" s="5">
        <v>45729</v>
      </c>
      <c r="E289" t="s">
        <v>65</v>
      </c>
      <c r="F289" t="s">
        <v>93</v>
      </c>
      <c r="G289" t="s">
        <v>67</v>
      </c>
      <c r="H289" t="s">
        <v>74</v>
      </c>
      <c r="I289" t="s">
        <v>23</v>
      </c>
      <c r="J289" t="s">
        <v>147</v>
      </c>
      <c r="K289" t="s">
        <v>90</v>
      </c>
      <c r="L289" t="s">
        <v>62</v>
      </c>
      <c r="M289" t="s">
        <v>50</v>
      </c>
      <c r="N289" t="s">
        <v>136</v>
      </c>
      <c r="O289" s="2">
        <v>1317.26</v>
      </c>
      <c r="P289">
        <v>10</v>
      </c>
      <c r="Q289" s="3">
        <v>0.2</v>
      </c>
      <c r="R289" s="2">
        <v>-130.08000000000001</v>
      </c>
    </row>
    <row r="290" spans="1:18" x14ac:dyDescent="0.25">
      <c r="A290">
        <v>289</v>
      </c>
      <c r="B290" t="s">
        <v>433</v>
      </c>
      <c r="C290" s="5">
        <v>45922</v>
      </c>
      <c r="D290" s="5">
        <v>45925</v>
      </c>
      <c r="E290" t="s">
        <v>19</v>
      </c>
      <c r="F290" t="s">
        <v>271</v>
      </c>
      <c r="G290" t="s">
        <v>104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 t="s">
        <v>63</v>
      </c>
      <c r="O290" s="2">
        <v>136.80000000000001</v>
      </c>
      <c r="P290">
        <v>9</v>
      </c>
      <c r="Q290" s="3">
        <v>0.1</v>
      </c>
      <c r="R290" s="2">
        <v>-9.24</v>
      </c>
    </row>
    <row r="291" spans="1:18" x14ac:dyDescent="0.25">
      <c r="A291">
        <v>290</v>
      </c>
      <c r="B291" t="s">
        <v>434</v>
      </c>
      <c r="C291" s="5">
        <v>45785</v>
      </c>
      <c r="D291" s="5">
        <v>45786</v>
      </c>
      <c r="E291" t="s">
        <v>65</v>
      </c>
      <c r="F291" t="s">
        <v>186</v>
      </c>
      <c r="G291" t="s">
        <v>67</v>
      </c>
      <c r="H291" t="s">
        <v>22</v>
      </c>
      <c r="I291" t="s">
        <v>23</v>
      </c>
      <c r="J291" t="s">
        <v>89</v>
      </c>
      <c r="K291" t="s">
        <v>90</v>
      </c>
      <c r="L291" t="s">
        <v>62</v>
      </c>
      <c r="M291" t="s">
        <v>42</v>
      </c>
      <c r="N291" t="s">
        <v>43</v>
      </c>
      <c r="O291" s="2">
        <v>1274.25</v>
      </c>
      <c r="P291">
        <v>5</v>
      </c>
      <c r="Q291" s="3">
        <v>0.05</v>
      </c>
      <c r="R291" s="2">
        <v>230.29</v>
      </c>
    </row>
    <row r="292" spans="1:18" x14ac:dyDescent="0.25">
      <c r="A292">
        <v>291</v>
      </c>
      <c r="B292" t="s">
        <v>435</v>
      </c>
      <c r="C292" s="5">
        <v>45781</v>
      </c>
      <c r="D292" s="5">
        <v>45784</v>
      </c>
      <c r="E292" t="s">
        <v>30</v>
      </c>
      <c r="F292" t="s">
        <v>170</v>
      </c>
      <c r="G292" t="s">
        <v>135</v>
      </c>
      <c r="H292" t="s">
        <v>74</v>
      </c>
      <c r="I292" t="s">
        <v>23</v>
      </c>
      <c r="J292" t="s">
        <v>89</v>
      </c>
      <c r="K292" t="s">
        <v>90</v>
      </c>
      <c r="L292" t="s">
        <v>62</v>
      </c>
      <c r="M292" t="s">
        <v>27</v>
      </c>
      <c r="N292" t="s">
        <v>94</v>
      </c>
      <c r="O292" s="2">
        <v>336.1</v>
      </c>
      <c r="P292">
        <v>8</v>
      </c>
      <c r="Q292" s="3">
        <v>0.15</v>
      </c>
      <c r="R292" s="2">
        <v>23.68</v>
      </c>
    </row>
    <row r="293" spans="1:18" x14ac:dyDescent="0.25">
      <c r="A293">
        <v>292</v>
      </c>
      <c r="B293" t="s">
        <v>436</v>
      </c>
      <c r="C293" s="5">
        <v>45803</v>
      </c>
      <c r="D293" s="5">
        <v>45804</v>
      </c>
      <c r="E293" t="s">
        <v>45</v>
      </c>
      <c r="F293" t="s">
        <v>58</v>
      </c>
      <c r="G293" t="s">
        <v>104</v>
      </c>
      <c r="H293" t="s">
        <v>74</v>
      </c>
      <c r="I293" t="s">
        <v>23</v>
      </c>
      <c r="J293" t="s">
        <v>68</v>
      </c>
      <c r="K293" t="s">
        <v>69</v>
      </c>
      <c r="L293" t="s">
        <v>70</v>
      </c>
      <c r="M293" t="s">
        <v>42</v>
      </c>
      <c r="N293" t="s">
        <v>113</v>
      </c>
      <c r="O293" s="2">
        <v>1539.8</v>
      </c>
      <c r="P293">
        <v>4</v>
      </c>
      <c r="Q293" s="3">
        <v>0.3</v>
      </c>
      <c r="R293" s="2">
        <v>-103.98</v>
      </c>
    </row>
    <row r="294" spans="1:18" x14ac:dyDescent="0.25">
      <c r="A294">
        <v>293</v>
      </c>
      <c r="B294" t="s">
        <v>437</v>
      </c>
      <c r="C294" s="5">
        <v>45920</v>
      </c>
      <c r="D294" s="5">
        <v>45921</v>
      </c>
      <c r="E294" t="s">
        <v>30</v>
      </c>
      <c r="F294" t="s">
        <v>38</v>
      </c>
      <c r="G294" t="s">
        <v>32</v>
      </c>
      <c r="H294" t="s">
        <v>74</v>
      </c>
      <c r="I294" t="s">
        <v>23</v>
      </c>
      <c r="J294" t="s">
        <v>168</v>
      </c>
      <c r="K294" t="s">
        <v>25</v>
      </c>
      <c r="L294" t="s">
        <v>26</v>
      </c>
      <c r="M294" t="s">
        <v>50</v>
      </c>
      <c r="N294" t="s">
        <v>151</v>
      </c>
      <c r="O294" s="2">
        <v>1172.32</v>
      </c>
      <c r="P294">
        <v>10</v>
      </c>
      <c r="Q294" s="3">
        <v>0.3</v>
      </c>
      <c r="R294" s="2">
        <v>-166.51</v>
      </c>
    </row>
    <row r="295" spans="1:18" x14ac:dyDescent="0.25">
      <c r="A295">
        <v>294</v>
      </c>
      <c r="B295" t="s">
        <v>438</v>
      </c>
      <c r="C295" s="5">
        <v>46021</v>
      </c>
      <c r="D295" s="5">
        <v>46024</v>
      </c>
      <c r="E295" t="s">
        <v>65</v>
      </c>
      <c r="F295" t="s">
        <v>20</v>
      </c>
      <c r="G295" t="s">
        <v>47</v>
      </c>
      <c r="H295" t="s">
        <v>22</v>
      </c>
      <c r="I295" t="s">
        <v>23</v>
      </c>
      <c r="J295" t="s">
        <v>68</v>
      </c>
      <c r="K295" t="s">
        <v>69</v>
      </c>
      <c r="L295" t="s">
        <v>70</v>
      </c>
      <c r="M295" t="s">
        <v>50</v>
      </c>
      <c r="N295" t="s">
        <v>136</v>
      </c>
      <c r="O295" s="2">
        <v>837.02</v>
      </c>
      <c r="P295">
        <v>4</v>
      </c>
      <c r="Q295" s="3">
        <v>0.1</v>
      </c>
      <c r="R295" s="2">
        <v>-7.74</v>
      </c>
    </row>
    <row r="296" spans="1:18" x14ac:dyDescent="0.25">
      <c r="A296">
        <v>295</v>
      </c>
      <c r="B296" t="s">
        <v>439</v>
      </c>
      <c r="C296" s="5">
        <v>45945</v>
      </c>
      <c r="D296" s="5">
        <v>45950</v>
      </c>
      <c r="E296" t="s">
        <v>30</v>
      </c>
      <c r="F296" t="s">
        <v>186</v>
      </c>
      <c r="G296" t="s">
        <v>59</v>
      </c>
      <c r="H296" t="s">
        <v>74</v>
      </c>
      <c r="I296" t="s">
        <v>23</v>
      </c>
      <c r="J296" t="s">
        <v>176</v>
      </c>
      <c r="K296" t="s">
        <v>162</v>
      </c>
      <c r="L296" t="s">
        <v>62</v>
      </c>
      <c r="M296" t="s">
        <v>50</v>
      </c>
      <c r="N296" t="s">
        <v>136</v>
      </c>
      <c r="O296" s="2">
        <v>1238.26</v>
      </c>
      <c r="P296">
        <v>8</v>
      </c>
      <c r="Q296" s="3">
        <v>0</v>
      </c>
      <c r="R296" s="2">
        <v>21.92</v>
      </c>
    </row>
    <row r="297" spans="1:18" x14ac:dyDescent="0.25">
      <c r="A297">
        <v>296</v>
      </c>
      <c r="B297" t="s">
        <v>440</v>
      </c>
      <c r="C297" s="5">
        <v>45993</v>
      </c>
      <c r="D297" s="5">
        <v>45996</v>
      </c>
      <c r="E297" t="s">
        <v>45</v>
      </c>
      <c r="F297" t="s">
        <v>164</v>
      </c>
      <c r="G297" t="s">
        <v>81</v>
      </c>
      <c r="H297" t="s">
        <v>54</v>
      </c>
      <c r="I297" t="s">
        <v>23</v>
      </c>
      <c r="J297" t="s">
        <v>33</v>
      </c>
      <c r="K297" t="s">
        <v>34</v>
      </c>
      <c r="L297" t="s">
        <v>35</v>
      </c>
      <c r="M297" t="s">
        <v>42</v>
      </c>
      <c r="N297" t="s">
        <v>113</v>
      </c>
      <c r="O297" s="2">
        <v>1621.44</v>
      </c>
      <c r="P297">
        <v>10</v>
      </c>
      <c r="Q297" s="3">
        <v>0.1</v>
      </c>
      <c r="R297" s="2">
        <v>188.39</v>
      </c>
    </row>
    <row r="298" spans="1:18" x14ac:dyDescent="0.25">
      <c r="A298">
        <v>297</v>
      </c>
      <c r="B298" t="s">
        <v>441</v>
      </c>
      <c r="C298" s="5">
        <v>45809</v>
      </c>
      <c r="D298" s="5">
        <v>45812</v>
      </c>
      <c r="E298" t="s">
        <v>45</v>
      </c>
      <c r="F298" t="s">
        <v>101</v>
      </c>
      <c r="G298" t="s">
        <v>88</v>
      </c>
      <c r="H298" t="s">
        <v>54</v>
      </c>
      <c r="I298" t="s">
        <v>23</v>
      </c>
      <c r="J298" t="s">
        <v>239</v>
      </c>
      <c r="K298" t="s">
        <v>69</v>
      </c>
      <c r="L298" t="s">
        <v>70</v>
      </c>
      <c r="M298" t="s">
        <v>50</v>
      </c>
      <c r="N298" t="s">
        <v>109</v>
      </c>
      <c r="O298" s="2">
        <v>1331.38</v>
      </c>
      <c r="P298">
        <v>10</v>
      </c>
      <c r="Q298" s="3">
        <v>0.2</v>
      </c>
      <c r="R298" s="2">
        <v>290.45999999999998</v>
      </c>
    </row>
    <row r="299" spans="1:18" x14ac:dyDescent="0.25">
      <c r="A299">
        <v>298</v>
      </c>
      <c r="B299" t="s">
        <v>442</v>
      </c>
      <c r="C299" s="5">
        <v>46009</v>
      </c>
      <c r="D299" s="5">
        <v>46014</v>
      </c>
      <c r="E299" t="s">
        <v>45</v>
      </c>
      <c r="F299" t="s">
        <v>122</v>
      </c>
      <c r="G299" t="s">
        <v>47</v>
      </c>
      <c r="H299" t="s">
        <v>74</v>
      </c>
      <c r="I299" t="s">
        <v>23</v>
      </c>
      <c r="J299" t="s">
        <v>89</v>
      </c>
      <c r="K299" t="s">
        <v>90</v>
      </c>
      <c r="L299" t="s">
        <v>62</v>
      </c>
      <c r="M299" t="s">
        <v>27</v>
      </c>
      <c r="N299" t="s">
        <v>28</v>
      </c>
      <c r="O299" s="2">
        <v>923.02</v>
      </c>
      <c r="P299">
        <v>3</v>
      </c>
      <c r="Q299" s="3">
        <v>0.3</v>
      </c>
      <c r="R299" s="2">
        <v>78.61</v>
      </c>
    </row>
    <row r="300" spans="1:18" x14ac:dyDescent="0.25">
      <c r="A300">
        <v>299</v>
      </c>
      <c r="B300" t="s">
        <v>443</v>
      </c>
      <c r="C300" s="5">
        <v>45790</v>
      </c>
      <c r="D300" s="5">
        <v>45795</v>
      </c>
      <c r="E300" t="s">
        <v>30</v>
      </c>
      <c r="F300" t="s">
        <v>103</v>
      </c>
      <c r="G300" t="s">
        <v>32</v>
      </c>
      <c r="H300" t="s">
        <v>74</v>
      </c>
      <c r="I300" t="s">
        <v>23</v>
      </c>
      <c r="J300" t="s">
        <v>78</v>
      </c>
      <c r="K300" t="s">
        <v>41</v>
      </c>
      <c r="L300" t="s">
        <v>35</v>
      </c>
      <c r="M300" t="s">
        <v>27</v>
      </c>
      <c r="N300" t="s">
        <v>28</v>
      </c>
      <c r="O300" s="2">
        <v>1184.8900000000001</v>
      </c>
      <c r="P300">
        <v>4</v>
      </c>
      <c r="Q300" s="3">
        <v>0.05</v>
      </c>
      <c r="R300" s="2">
        <v>-34.76</v>
      </c>
    </row>
    <row r="301" spans="1:18" x14ac:dyDescent="0.25">
      <c r="A301">
        <v>300</v>
      </c>
      <c r="B301" t="s">
        <v>444</v>
      </c>
      <c r="C301" s="5">
        <v>45791</v>
      </c>
      <c r="D301" s="5">
        <v>45796</v>
      </c>
      <c r="E301" t="s">
        <v>19</v>
      </c>
      <c r="F301" t="s">
        <v>181</v>
      </c>
      <c r="G301" t="s">
        <v>67</v>
      </c>
      <c r="H301" t="s">
        <v>22</v>
      </c>
      <c r="I301" t="s">
        <v>23</v>
      </c>
      <c r="J301" t="s">
        <v>97</v>
      </c>
      <c r="K301" t="s">
        <v>98</v>
      </c>
      <c r="L301" t="s">
        <v>70</v>
      </c>
      <c r="M301" t="s">
        <v>50</v>
      </c>
      <c r="N301" t="s">
        <v>51</v>
      </c>
      <c r="O301" s="2">
        <v>857.56</v>
      </c>
      <c r="P301">
        <v>10</v>
      </c>
      <c r="Q301" s="3">
        <v>0.15</v>
      </c>
      <c r="R301" s="2">
        <v>178.38</v>
      </c>
    </row>
  </sheetData>
  <autoFilter ref="A1:R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6.140625" customWidth="1"/>
    <col min="2" max="2" width="16.7109375" customWidth="1"/>
  </cols>
  <sheetData>
    <row r="1" spans="1:2" x14ac:dyDescent="0.25">
      <c r="A1" s="1" t="s">
        <v>12</v>
      </c>
      <c r="B1" s="1" t="s">
        <v>445</v>
      </c>
    </row>
    <row r="2" spans="1:2" x14ac:dyDescent="0.25">
      <c r="A2" t="s">
        <v>42</v>
      </c>
      <c r="B2" s="3">
        <v>0.1</v>
      </c>
    </row>
    <row r="3" spans="1:2" x14ac:dyDescent="0.25">
      <c r="A3" t="s">
        <v>50</v>
      </c>
      <c r="B3" s="3">
        <v>0.15</v>
      </c>
    </row>
    <row r="4" spans="1:2" x14ac:dyDescent="0.25">
      <c r="A4" t="s">
        <v>27</v>
      </c>
      <c r="B4" s="3">
        <v>0.2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D735-D640-4A52-AF41-AB240AC927F3}">
  <dimension ref="A3:B4"/>
  <sheetViews>
    <sheetView workbookViewId="0">
      <selection activeCell="A4" sqref="A4"/>
    </sheetView>
  </sheetViews>
  <sheetFormatPr defaultRowHeight="15" x14ac:dyDescent="0.25"/>
  <cols>
    <col min="1" max="1" width="12.140625" bestFit="1" customWidth="1"/>
    <col min="2" max="3" width="12.5703125" bestFit="1" customWidth="1"/>
  </cols>
  <sheetData>
    <row r="3" spans="1:2" x14ac:dyDescent="0.25">
      <c r="A3" t="s">
        <v>446</v>
      </c>
      <c r="B3" t="s">
        <v>447</v>
      </c>
    </row>
    <row r="4" spans="1:2" x14ac:dyDescent="0.25">
      <c r="A4" s="2">
        <v>267330.2900000001</v>
      </c>
      <c r="B4" s="2">
        <v>13598.340000000002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2B48-3F5B-4C54-BAC4-55DC81492FE4}">
  <dimension ref="A3:C7"/>
  <sheetViews>
    <sheetView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42</v>
      </c>
      <c r="B4" s="2">
        <v>84919.07</v>
      </c>
      <c r="C4" s="2">
        <v>4295.1800000000012</v>
      </c>
    </row>
    <row r="5" spans="1:3" x14ac:dyDescent="0.25">
      <c r="A5" s="7" t="s">
        <v>50</v>
      </c>
      <c r="B5" s="2">
        <v>80618.219999999987</v>
      </c>
      <c r="C5" s="2">
        <v>4522.5700000000006</v>
      </c>
    </row>
    <row r="6" spans="1:3" x14ac:dyDescent="0.25">
      <c r="A6" s="7" t="s">
        <v>27</v>
      </c>
      <c r="B6" s="2">
        <v>101793.00000000001</v>
      </c>
      <c r="C6" s="2">
        <v>4780.5900000000011</v>
      </c>
    </row>
    <row r="7" spans="1:3" x14ac:dyDescent="0.25">
      <c r="A7" s="7" t="s">
        <v>449</v>
      </c>
      <c r="B7" s="2">
        <v>267330.28999999998</v>
      </c>
      <c r="C7" s="2">
        <v>13598.340000000004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F697-DC03-4B41-91AD-97CFB138A7FA}">
  <dimension ref="A3:C8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35</v>
      </c>
      <c r="B4" s="2">
        <v>62376.189999999988</v>
      </c>
      <c r="C4" s="2">
        <v>3731.4200000000005</v>
      </c>
    </row>
    <row r="5" spans="1:3" x14ac:dyDescent="0.25">
      <c r="A5" s="7" t="s">
        <v>70</v>
      </c>
      <c r="B5" s="2">
        <v>82894.570000000022</v>
      </c>
      <c r="C5" s="2">
        <v>5130.5900000000011</v>
      </c>
    </row>
    <row r="6" spans="1:3" x14ac:dyDescent="0.25">
      <c r="A6" s="7" t="s">
        <v>62</v>
      </c>
      <c r="B6" s="2">
        <v>81672.58</v>
      </c>
      <c r="C6" s="2">
        <v>3323.0300000000007</v>
      </c>
    </row>
    <row r="7" spans="1:3" x14ac:dyDescent="0.25">
      <c r="A7" s="7" t="s">
        <v>26</v>
      </c>
      <c r="B7" s="2">
        <v>40386.950000000004</v>
      </c>
      <c r="C7" s="2">
        <v>1413.3000000000004</v>
      </c>
    </row>
    <row r="8" spans="1:3" x14ac:dyDescent="0.25">
      <c r="A8" s="7" t="s">
        <v>449</v>
      </c>
      <c r="B8" s="2">
        <v>267330.29000000004</v>
      </c>
      <c r="C8" s="2">
        <v>13598.340000000004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6863-CA3B-4C10-B243-4602E7A05B13}">
  <dimension ref="A3:C7"/>
  <sheetViews>
    <sheetView topLeftCell="A3" workbookViewId="0">
      <selection activeCell="B7" sqref="B7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22</v>
      </c>
      <c r="B4" s="2">
        <v>78980.650000000023</v>
      </c>
      <c r="C4" s="2">
        <v>4704.7399999999989</v>
      </c>
    </row>
    <row r="5" spans="1:3" x14ac:dyDescent="0.25">
      <c r="A5" s="7" t="s">
        <v>74</v>
      </c>
      <c r="B5" s="2">
        <v>84182.359999999986</v>
      </c>
      <c r="C5" s="2">
        <v>3814.5899999999997</v>
      </c>
    </row>
    <row r="6" spans="1:3" x14ac:dyDescent="0.25">
      <c r="A6" s="7" t="s">
        <v>54</v>
      </c>
      <c r="B6" s="2">
        <v>104167.27999999998</v>
      </c>
      <c r="C6" s="2">
        <v>5079.0099999999993</v>
      </c>
    </row>
    <row r="7" spans="1:3" x14ac:dyDescent="0.25">
      <c r="A7" s="7" t="s">
        <v>449</v>
      </c>
      <c r="B7" s="2">
        <v>267330.28999999998</v>
      </c>
      <c r="C7" s="2">
        <v>13598.339999999997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EB9E-7493-4698-9F4E-EA8EFEB17660}">
  <dimension ref="A3:B16"/>
  <sheetViews>
    <sheetView workbookViewId="0">
      <selection activeCell="L7" sqref="L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6" t="s">
        <v>448</v>
      </c>
      <c r="B3" t="s">
        <v>446</v>
      </c>
    </row>
    <row r="4" spans="1:2" x14ac:dyDescent="0.25">
      <c r="A4" s="7" t="s">
        <v>450</v>
      </c>
      <c r="B4" s="2">
        <v>20630.829999999998</v>
      </c>
    </row>
    <row r="5" spans="1:2" x14ac:dyDescent="0.25">
      <c r="A5" s="7" t="s">
        <v>451</v>
      </c>
      <c r="B5" s="2">
        <v>33599.050000000003</v>
      </c>
    </row>
    <row r="6" spans="1:2" x14ac:dyDescent="0.25">
      <c r="A6" s="7" t="s">
        <v>452</v>
      </c>
      <c r="B6" s="2">
        <v>18961.28</v>
      </c>
    </row>
    <row r="7" spans="1:2" x14ac:dyDescent="0.25">
      <c r="A7" s="7" t="s">
        <v>453</v>
      </c>
      <c r="B7" s="2">
        <v>16420.150000000001</v>
      </c>
    </row>
    <row r="8" spans="1:2" x14ac:dyDescent="0.25">
      <c r="A8" s="7" t="s">
        <v>454</v>
      </c>
      <c r="B8" s="2">
        <v>29548.729999999996</v>
      </c>
    </row>
    <row r="9" spans="1:2" x14ac:dyDescent="0.25">
      <c r="A9" s="7" t="s">
        <v>455</v>
      </c>
      <c r="B9" s="2">
        <v>18368.150000000001</v>
      </c>
    </row>
    <row r="10" spans="1:2" x14ac:dyDescent="0.25">
      <c r="A10" s="7" t="s">
        <v>456</v>
      </c>
      <c r="B10" s="2">
        <v>13658.260000000002</v>
      </c>
    </row>
    <row r="11" spans="1:2" x14ac:dyDescent="0.25">
      <c r="A11" s="7" t="s">
        <v>457</v>
      </c>
      <c r="B11" s="2">
        <v>24435.569999999996</v>
      </c>
    </row>
    <row r="12" spans="1:2" x14ac:dyDescent="0.25">
      <c r="A12" s="7" t="s">
        <v>458</v>
      </c>
      <c r="B12" s="2">
        <v>26105.079999999998</v>
      </c>
    </row>
    <row r="13" spans="1:2" x14ac:dyDescent="0.25">
      <c r="A13" s="7" t="s">
        <v>459</v>
      </c>
      <c r="B13" s="2">
        <v>20710.46</v>
      </c>
    </row>
    <row r="14" spans="1:2" x14ac:dyDescent="0.25">
      <c r="A14" s="7" t="s">
        <v>460</v>
      </c>
      <c r="B14" s="2">
        <v>15973.499999999996</v>
      </c>
    </row>
    <row r="15" spans="1:2" x14ac:dyDescent="0.25">
      <c r="A15" s="7" t="s">
        <v>461</v>
      </c>
      <c r="B15" s="2">
        <v>28919.23</v>
      </c>
    </row>
    <row r="16" spans="1:2" x14ac:dyDescent="0.25">
      <c r="A16" s="7" t="s">
        <v>449</v>
      </c>
      <c r="B16" s="2">
        <v>267330.28999999998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E480-8DF5-413E-94A9-DBF0B385EB66}">
  <dimension ref="A3:K9"/>
  <sheetViews>
    <sheetView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6.28515625" bestFit="1" customWidth="1"/>
    <col min="3" max="3" width="12.5703125" bestFit="1" customWidth="1"/>
    <col min="4" max="4" width="12.140625" bestFit="1" customWidth="1"/>
    <col min="5" max="5" width="12.5703125" bestFit="1" customWidth="1"/>
    <col min="6" max="6" width="12.140625" bestFit="1" customWidth="1"/>
    <col min="7" max="7" width="12.5703125" bestFit="1" customWidth="1"/>
    <col min="8" max="8" width="12.140625" bestFit="1" customWidth="1"/>
    <col min="9" max="9" width="12.5703125" bestFit="1" customWidth="1"/>
    <col min="10" max="10" width="17.28515625" bestFit="1" customWidth="1"/>
    <col min="11" max="11" width="17.7109375" bestFit="1" customWidth="1"/>
  </cols>
  <sheetData>
    <row r="3" spans="1:11" x14ac:dyDescent="0.25">
      <c r="B3" s="6" t="s">
        <v>462</v>
      </c>
    </row>
    <row r="4" spans="1:11" x14ac:dyDescent="0.25">
      <c r="B4" t="s">
        <v>35</v>
      </c>
      <c r="D4" t="s">
        <v>70</v>
      </c>
      <c r="F4" t="s">
        <v>62</v>
      </c>
      <c r="H4" t="s">
        <v>26</v>
      </c>
      <c r="J4" t="s">
        <v>463</v>
      </c>
      <c r="K4" t="s">
        <v>464</v>
      </c>
    </row>
    <row r="5" spans="1:11" x14ac:dyDescent="0.25">
      <c r="A5" s="6" t="s">
        <v>448</v>
      </c>
      <c r="B5" t="s">
        <v>446</v>
      </c>
      <c r="C5" t="s">
        <v>447</v>
      </c>
      <c r="D5" t="s">
        <v>446</v>
      </c>
      <c r="E5" t="s">
        <v>447</v>
      </c>
      <c r="F5" t="s">
        <v>446</v>
      </c>
      <c r="G5" t="s">
        <v>447</v>
      </c>
      <c r="H5" t="s">
        <v>446</v>
      </c>
      <c r="I5" t="s">
        <v>447</v>
      </c>
    </row>
    <row r="6" spans="1:11" x14ac:dyDescent="0.25">
      <c r="A6" s="7" t="s">
        <v>42</v>
      </c>
      <c r="B6" s="2">
        <v>18652.949999999997</v>
      </c>
      <c r="C6" s="2">
        <v>907.29999999999984</v>
      </c>
      <c r="D6" s="2">
        <v>27240.489999999998</v>
      </c>
      <c r="E6" s="2">
        <v>1834.62</v>
      </c>
      <c r="F6" s="2">
        <v>26705.489999999991</v>
      </c>
      <c r="G6" s="2">
        <v>588.97</v>
      </c>
      <c r="H6" s="2">
        <v>12320.140000000001</v>
      </c>
      <c r="I6" s="2">
        <v>964.29000000000042</v>
      </c>
      <c r="J6" s="2">
        <v>84919.069999999992</v>
      </c>
      <c r="K6" s="2">
        <v>4295.18</v>
      </c>
    </row>
    <row r="7" spans="1:11" x14ac:dyDescent="0.25">
      <c r="A7" s="7" t="s">
        <v>50</v>
      </c>
      <c r="B7" s="2">
        <v>21090.990000000005</v>
      </c>
      <c r="C7" s="2">
        <v>1891.19</v>
      </c>
      <c r="D7" s="2">
        <v>21372.170000000002</v>
      </c>
      <c r="E7" s="2">
        <v>1576.48</v>
      </c>
      <c r="F7" s="2">
        <v>23303.53</v>
      </c>
      <c r="G7" s="2">
        <v>886.24999999999966</v>
      </c>
      <c r="H7" s="2">
        <v>14851.529999999999</v>
      </c>
      <c r="I7" s="2">
        <v>168.64999999999998</v>
      </c>
      <c r="J7" s="2">
        <v>80618.22</v>
      </c>
      <c r="K7" s="2">
        <v>4522.57</v>
      </c>
    </row>
    <row r="8" spans="1:11" x14ac:dyDescent="0.25">
      <c r="A8" s="7" t="s">
        <v>27</v>
      </c>
      <c r="B8" s="2">
        <v>22632.25</v>
      </c>
      <c r="C8" s="2">
        <v>932.93</v>
      </c>
      <c r="D8" s="2">
        <v>34281.910000000003</v>
      </c>
      <c r="E8" s="2">
        <v>1719.4900000000002</v>
      </c>
      <c r="F8" s="2">
        <v>31663.559999999994</v>
      </c>
      <c r="G8" s="2">
        <v>1847.81</v>
      </c>
      <c r="H8" s="2">
        <v>13215.279999999997</v>
      </c>
      <c r="I8" s="2">
        <v>280.36</v>
      </c>
      <c r="J8" s="2">
        <v>101793</v>
      </c>
      <c r="K8" s="2">
        <v>4780.5899999999992</v>
      </c>
    </row>
    <row r="9" spans="1:11" x14ac:dyDescent="0.25">
      <c r="A9" s="7" t="s">
        <v>449</v>
      </c>
      <c r="B9" s="2">
        <v>62376.19</v>
      </c>
      <c r="C9" s="2">
        <v>3731.4199999999996</v>
      </c>
      <c r="D9" s="2">
        <v>82894.570000000007</v>
      </c>
      <c r="E9" s="2">
        <v>5130.59</v>
      </c>
      <c r="F9" s="2">
        <v>81672.579999999987</v>
      </c>
      <c r="G9" s="2">
        <v>3323.0299999999997</v>
      </c>
      <c r="H9" s="2">
        <v>40386.949999999997</v>
      </c>
      <c r="I9" s="2">
        <v>1413.3000000000006</v>
      </c>
      <c r="J9" s="2">
        <v>267330.28999999998</v>
      </c>
      <c r="K9" s="2">
        <v>13598.34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2C4D-A44C-45F7-90EC-3FA33A0334D5}">
  <dimension ref="A3:C14"/>
  <sheetViews>
    <sheetView workbookViewId="0">
      <selection activeCell="A3" sqref="A3"/>
    </sheetView>
  </sheetViews>
  <sheetFormatPr defaultRowHeight="15" x14ac:dyDescent="0.25"/>
  <cols>
    <col min="1" max="1" width="14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25</v>
      </c>
      <c r="B4" s="2">
        <v>18715.07</v>
      </c>
      <c r="C4" s="2">
        <v>706.37000000000012</v>
      </c>
    </row>
    <row r="5" spans="1:3" x14ac:dyDescent="0.25">
      <c r="A5" s="7" t="s">
        <v>90</v>
      </c>
      <c r="B5" s="2">
        <v>35889.51999999999</v>
      </c>
      <c r="C5" s="2">
        <v>1024.1899999999998</v>
      </c>
    </row>
    <row r="6" spans="1:3" x14ac:dyDescent="0.25">
      <c r="A6" s="7" t="s">
        <v>61</v>
      </c>
      <c r="B6" s="2">
        <v>18441.09</v>
      </c>
      <c r="C6" s="2">
        <v>545.45999999999992</v>
      </c>
    </row>
    <row r="7" spans="1:3" x14ac:dyDescent="0.25">
      <c r="A7" s="7" t="s">
        <v>34</v>
      </c>
      <c r="B7" s="2">
        <v>31046.349999999995</v>
      </c>
      <c r="C7" s="2">
        <v>2866.45</v>
      </c>
    </row>
    <row r="8" spans="1:3" x14ac:dyDescent="0.25">
      <c r="A8" s="7" t="s">
        <v>98</v>
      </c>
      <c r="B8" s="2">
        <v>29333.229999999996</v>
      </c>
      <c r="C8" s="2">
        <v>1514.0900000000001</v>
      </c>
    </row>
    <row r="9" spans="1:3" x14ac:dyDescent="0.25">
      <c r="A9" s="7" t="s">
        <v>162</v>
      </c>
      <c r="B9" s="2">
        <v>27341.96999999999</v>
      </c>
      <c r="C9" s="2">
        <v>1753.3799999999999</v>
      </c>
    </row>
    <row r="10" spans="1:3" x14ac:dyDescent="0.25">
      <c r="A10" s="7" t="s">
        <v>69</v>
      </c>
      <c r="B10" s="2">
        <v>28227.340000000007</v>
      </c>
      <c r="C10" s="2">
        <v>1370.8</v>
      </c>
    </row>
    <row r="11" spans="1:3" x14ac:dyDescent="0.25">
      <c r="A11" s="7" t="s">
        <v>108</v>
      </c>
      <c r="B11" s="2">
        <v>25334</v>
      </c>
      <c r="C11" s="2">
        <v>2245.7000000000003</v>
      </c>
    </row>
    <row r="12" spans="1:3" x14ac:dyDescent="0.25">
      <c r="A12" s="7" t="s">
        <v>41</v>
      </c>
      <c r="B12" s="2">
        <v>31329.839999999997</v>
      </c>
      <c r="C12" s="2">
        <v>864.9699999999998</v>
      </c>
    </row>
    <row r="13" spans="1:3" x14ac:dyDescent="0.25">
      <c r="A13" s="7" t="s">
        <v>49</v>
      </c>
      <c r="B13" s="2">
        <v>21671.880000000005</v>
      </c>
      <c r="C13" s="2">
        <v>706.93</v>
      </c>
    </row>
    <row r="14" spans="1:3" x14ac:dyDescent="0.25">
      <c r="A14" s="7" t="s">
        <v>449</v>
      </c>
      <c r="B14" s="2">
        <v>267330.28999999998</v>
      </c>
      <c r="C14" s="2">
        <v>13598.339999999998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6F64-E879-4B2F-B238-5310E0F553EA}">
  <dimension ref="A1:C6"/>
  <sheetViews>
    <sheetView workbookViewId="0">
      <selection activeCell="A3" sqref="A3:A6"/>
    </sheetView>
  </sheetViews>
  <sheetFormatPr defaultRowHeight="15" x14ac:dyDescent="0.25"/>
  <cols>
    <col min="1" max="1" width="15.5703125" customWidth="1"/>
    <col min="2" max="2" width="12.28515625" customWidth="1"/>
  </cols>
  <sheetData>
    <row r="1" spans="1:3" ht="26.25" x14ac:dyDescent="0.4">
      <c r="A1" t="s">
        <v>469</v>
      </c>
      <c r="B1" s="8"/>
    </row>
    <row r="2" spans="1:3" x14ac:dyDescent="0.25">
      <c r="A2" t="s">
        <v>470</v>
      </c>
      <c r="B2" s="8" t="s">
        <v>471</v>
      </c>
    </row>
    <row r="3" spans="1:3" x14ac:dyDescent="0.25">
      <c r="A3" t="s">
        <v>465</v>
      </c>
      <c r="B3" s="8">
        <v>267330.28999999998</v>
      </c>
    </row>
    <row r="4" spans="1:3" x14ac:dyDescent="0.25">
      <c r="A4" t="s">
        <v>466</v>
      </c>
      <c r="B4" s="8">
        <v>13598.34</v>
      </c>
    </row>
    <row r="5" spans="1:3" x14ac:dyDescent="0.25">
      <c r="A5" t="s">
        <v>468</v>
      </c>
      <c r="B5">
        <v>1717</v>
      </c>
    </row>
    <row r="6" spans="1:3" x14ac:dyDescent="0.25">
      <c r="A6" t="s">
        <v>467</v>
      </c>
      <c r="B6">
        <v>891.10096666666698</v>
      </c>
      <c r="C6" s="8"/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0E5C-F7BA-4C5E-B712-243841BA61FC}">
  <dimension ref="A1:A5"/>
  <sheetViews>
    <sheetView showGridLines="0" workbookViewId="0">
      <selection activeCell="B8" sqref="B8"/>
    </sheetView>
  </sheetViews>
  <sheetFormatPr defaultRowHeight="15" x14ac:dyDescent="0.25"/>
  <cols>
    <col min="1" max="1" width="23.140625" customWidth="1"/>
  </cols>
  <sheetData>
    <row r="1" spans="1:1" x14ac:dyDescent="0.25">
      <c r="A1" t="s">
        <v>472</v>
      </c>
    </row>
    <row r="2" spans="1:1" x14ac:dyDescent="0.25">
      <c r="A2" s="9" t="s">
        <v>465</v>
      </c>
    </row>
    <row r="3" spans="1:1" x14ac:dyDescent="0.25">
      <c r="A3" t="s">
        <v>466</v>
      </c>
    </row>
    <row r="4" spans="1:1" x14ac:dyDescent="0.25">
      <c r="A4" s="9" t="s">
        <v>468</v>
      </c>
    </row>
    <row r="5" spans="1:1" ht="15.75" thickBot="1" x14ac:dyDescent="0.3">
      <c r="A5" s="10" t="s">
        <v>467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Lookup</vt:lpstr>
      <vt:lpstr>Sales &amp; Profit</vt:lpstr>
      <vt:lpstr>Category-wise Sales &amp; Profit</vt:lpstr>
      <vt:lpstr>Region-wise Sales &amp; Profit</vt:lpstr>
      <vt:lpstr>Segment-wise Sales&amp;Profit</vt:lpstr>
      <vt:lpstr>Monthly Sales Trend</vt:lpstr>
      <vt:lpstr>Category+Region Analysis</vt:lpstr>
      <vt:lpstr>State-wise Sales&amp;Profit</vt:lpstr>
      <vt:lpstr>KPI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2026-09-01T08:13:55Z</dcterms:created>
  <dcterms:modified xsi:type="dcterms:W3CDTF">2026-09-05T09:00:31Z</dcterms:modified>
</cp:coreProperties>
</file>